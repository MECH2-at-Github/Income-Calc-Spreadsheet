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8C03EE21-984E-45D9-8F5A-F115A59FE397}" xr6:coauthVersionLast="47" xr6:coauthVersionMax="47" xr10:uidLastSave="{00000000-0000-0000-0000-000000000000}"/>
  <bookViews>
    <workbookView xWindow="29740" yWindow="4420" windowWidth="8610" windowHeight="16060" tabRatio="943" xr2:uid="{00000000-000D-0000-FFFF-FFFF00000000}"/>
  </bookViews>
  <sheets>
    <sheet name="BW" sheetId="1" r:id="rId1"/>
    <sheet name="SM" sheetId="2" r:id="rId2"/>
    <sheet name="WK" sheetId="3" r:id="rId3"/>
    <sheet name="YTD BW" sheetId="4" r:id="rId4"/>
    <sheet name="YTD WK" sheetId="5" r:id="rId5"/>
    <sheet name="UI" sheetId="7" r:id="rId6"/>
    <sheet name="CS" sheetId="8" r:id="rId7"/>
    <sheet name="YTD BW Rng" sheetId="6" r:id="rId8"/>
    <sheet name="YTD WK Rng" sheetId="9" r:id="rId9"/>
  </sheets>
  <functionGroups builtInGroupCount="19"/>
  <definedNames>
    <definedName name="BWExpenses">BW!$A$27</definedName>
    <definedName name="BWPerson1">BW!$A$25</definedName>
    <definedName name="BWPerson2">BW!$A$26</definedName>
    <definedName name="ChildSupportAnnualized">CS!$G$29</definedName>
    <definedName name="CSAnnualized">CS!$E$9</definedName>
    <definedName name="CSIncomePeriod">CS!$E$5</definedName>
    <definedName name="CSSumOfPasted">CS!$E$6</definedName>
    <definedName name="_xlnm.Print_Area" localSheetId="0">BW!$A$1:$E$27</definedName>
    <definedName name="_xlnm.Print_Area" localSheetId="6">CS!$A$1:$E$99</definedName>
    <definedName name="_xlnm.Print_Area" localSheetId="1">SM!$A$1:$E$27</definedName>
    <definedName name="_xlnm.Print_Area" localSheetId="2">WK!$A$1:$E$27</definedName>
    <definedName name="_xlnm.Print_Area" localSheetId="3">'YTD BW'!$A$1:$E$26</definedName>
    <definedName name="_xlnm.Print_Area" localSheetId="7">'YTD BW Rng'!$A$1:$E$26</definedName>
    <definedName name="_xlnm.Print_Area" localSheetId="4">'YTD WK'!$A$1:$E$26</definedName>
    <definedName name="_xlnm.Print_Area" localSheetId="8">'YTD WK Rng'!$A$1:$E$26</definedName>
    <definedName name="SMExpenses">SM!$A$27</definedName>
    <definedName name="SMPerson1">SM!$A$25</definedName>
    <definedName name="SMPerson2">SM!$A$26</definedName>
    <definedName name="SumOfPasted">CS!$E$6</definedName>
    <definedName name="UIPerson1">UI!$A$25</definedName>
    <definedName name="UIPerson2">UI!$A$26</definedName>
    <definedName name="WKExpenses">WK!$A$27</definedName>
    <definedName name="WKPerson1">WK!$A$25</definedName>
    <definedName name="WKPerson2">WK!$A$26</definedName>
    <definedName name="YTDBWExpenses">'YTD BW'!$A$26</definedName>
    <definedName name="YTDBWPerson1">'YTD BW'!$A$25</definedName>
    <definedName name="YTDBWRangeExpenses">'YTD BW Rng'!$A$26</definedName>
    <definedName name="YTDBWRangePerson1">'YTD BW Rng'!$A$25</definedName>
    <definedName name="YTDPerson1">'YTD BW'!$A$25</definedName>
    <definedName name="YTDWKExpenses">'YTD WK'!$A$26</definedName>
    <definedName name="YTDWKPerson1">'YTD WK'!$A$25</definedName>
    <definedName name="YTDWKRangeExpenses">'YTD WK Rng'!$A$26</definedName>
    <definedName name="YTDWKRangePerson1">'YTD WK Rng'!$A$25</definedName>
  </definedNames>
  <calcPr calcId="191029"/>
  <customWorkbookViews>
    <customWorkbookView name="Income" guid="{292C5557-1FFE-4F9F-B4A6-F222AD2998EA}" xWindow="786" yWindow="41" windowWidth="493" windowHeight="730" tabRatio="65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3" i="9" l="1"/>
  <c r="D22" i="9"/>
  <c r="D21" i="9"/>
  <c r="D20" i="9"/>
  <c r="D19" i="9"/>
  <c r="C11" i="9"/>
  <c r="D39" i="9"/>
  <c r="B43" i="9" s="1"/>
  <c r="D36" i="9"/>
  <c r="B41" i="9" s="1"/>
  <c r="A25" i="9"/>
  <c r="E6" i="8"/>
  <c r="E5" i="8"/>
  <c r="J11" i="8"/>
  <c r="J12" i="8"/>
  <c r="J13" i="8"/>
  <c r="J14" i="8"/>
  <c r="J15" i="8"/>
  <c r="J16" i="8"/>
  <c r="J17" i="8"/>
  <c r="J18" i="8"/>
  <c r="J19" i="8"/>
  <c r="J20" i="8"/>
  <c r="J9" i="8"/>
  <c r="J10" i="8"/>
  <c r="H8" i="8"/>
  <c r="G4" i="8"/>
  <c r="G5" i="8"/>
  <c r="A26" i="9" l="1"/>
  <c r="E8" i="8"/>
  <c r="E9" i="8" s="1"/>
  <c r="G29" i="8" s="1"/>
  <c r="E10" i="7"/>
  <c r="E11" i="7" s="1"/>
  <c r="A26" i="7" s="1"/>
  <c r="B10" i="7"/>
  <c r="B11" i="7" s="1"/>
  <c r="A25" i="7" s="1"/>
  <c r="D23" i="6" l="1"/>
  <c r="D22" i="6"/>
  <c r="D21" i="6"/>
  <c r="D20" i="6"/>
  <c r="D19" i="6"/>
  <c r="D23" i="4"/>
  <c r="D22" i="4"/>
  <c r="D21" i="4"/>
  <c r="D20" i="4"/>
  <c r="D19" i="4"/>
  <c r="C9" i="4" l="1"/>
  <c r="C9" i="5"/>
  <c r="A25" i="6" l="1"/>
  <c r="A25" i="5"/>
  <c r="C11" i="6"/>
  <c r="D39" i="4"/>
  <c r="B43" i="4" s="1"/>
  <c r="D36" i="4"/>
  <c r="B41" i="4" s="1"/>
  <c r="D39" i="5"/>
  <c r="B43" i="5" s="1"/>
  <c r="D36" i="5"/>
  <c r="B41" i="5" s="1"/>
  <c r="D39" i="6"/>
  <c r="B43" i="6" s="1"/>
  <c r="D36" i="6"/>
  <c r="B41" i="6" s="1"/>
  <c r="D41" i="3"/>
  <c r="B47" i="3" s="1"/>
  <c r="D40" i="3"/>
  <c r="B46" i="3" s="1"/>
  <c r="D37" i="3"/>
  <c r="B44" i="3" s="1"/>
  <c r="D36" i="3"/>
  <c r="B43" i="3" s="1"/>
  <c r="D41" i="2"/>
  <c r="B47" i="2" s="1"/>
  <c r="D40" i="2"/>
  <c r="B46" i="2" s="1"/>
  <c r="D37" i="2"/>
  <c r="B44" i="2" s="1"/>
  <c r="D36" i="2"/>
  <c r="B43" i="2" s="1"/>
  <c r="D41" i="1"/>
  <c r="B47" i="1" s="1"/>
  <c r="D40" i="1"/>
  <c r="A25" i="4" l="1"/>
  <c r="B46" i="1"/>
  <c r="D37" i="1"/>
  <c r="B44" i="1" s="1"/>
  <c r="D36" i="1" l="1"/>
  <c r="B43" i="1" s="1"/>
  <c r="D20" i="1"/>
  <c r="D21" i="1"/>
  <c r="D22" i="1"/>
  <c r="D23" i="1"/>
  <c r="D19" i="1"/>
  <c r="D23" i="3" l="1"/>
  <c r="D23" i="2"/>
  <c r="D23" i="5"/>
  <c r="D22" i="5"/>
  <c r="D21" i="5"/>
  <c r="D20" i="5"/>
  <c r="D19" i="5"/>
  <c r="D22" i="2"/>
  <c r="D21" i="2"/>
  <c r="D20" i="2"/>
  <c r="D19" i="2"/>
  <c r="D22" i="3"/>
  <c r="D21" i="3"/>
  <c r="D20" i="3"/>
  <c r="D19" i="3"/>
  <c r="A13" i="3"/>
  <c r="A15" i="3" s="1"/>
  <c r="A25" i="3" s="1"/>
  <c r="C13" i="3"/>
  <c r="D13" i="1"/>
  <c r="D15" i="1" s="1"/>
  <c r="B13" i="1"/>
  <c r="B15" i="1" s="1"/>
  <c r="B13" i="2"/>
  <c r="B15" i="2" s="1"/>
  <c r="D13" i="2"/>
  <c r="D15" i="2" s="1"/>
  <c r="D13" i="3"/>
  <c r="C13" i="1"/>
  <c r="C15" i="1" s="1"/>
  <c r="A26" i="1" s="1"/>
  <c r="A13" i="1"/>
  <c r="A15" i="1" s="1"/>
  <c r="C13" i="2"/>
  <c r="A13" i="2"/>
  <c r="A15" i="2" s="1"/>
  <c r="A25" i="2" s="1"/>
  <c r="B13" i="3"/>
  <c r="C15" i="3" l="1"/>
  <c r="A26" i="3" s="1"/>
  <c r="C15" i="2"/>
  <c r="A26" i="2" s="1"/>
  <c r="A25" i="1"/>
  <c r="A26" i="6"/>
  <c r="A27" i="1"/>
  <c r="A27" i="2"/>
  <c r="A27" i="3"/>
  <c r="A26" i="5"/>
  <c r="A2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C1A7EFA5-B6FD-4408-82D6-BD0FA675E3FD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83617478-D535-4E54-ADA4-0EA702D035D1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Jonathan McCormick</author>
  </authors>
  <commentList>
    <comment ref="C18" authorId="0" shapeId="0" xr:uid="{4B61F0AE-EC0B-4551-A5A6-F7B4E74312A5}">
      <text>
        <r>
          <rPr>
            <b/>
            <sz val="9"/>
            <color indexed="81"/>
            <rFont val="Tahoma"/>
            <family val="2"/>
          </rPr>
          <t>Dropdown field</t>
        </r>
      </text>
    </comment>
  </commentList>
</comments>
</file>

<file path=xl/sharedStrings.xml><?xml version="1.0" encoding="utf-8"?>
<sst xmlns="http://schemas.openxmlformats.org/spreadsheetml/2006/main" count="251" uniqueCount="51">
  <si>
    <t>Bi-weekly</t>
  </si>
  <si>
    <t>Average:</t>
  </si>
  <si>
    <t>Hours</t>
  </si>
  <si>
    <t>Twice Monthly</t>
  </si>
  <si>
    <t>Weekly</t>
  </si>
  <si>
    <t>Weekly:</t>
  </si>
  <si>
    <t>Medical</t>
  </si>
  <si>
    <t>Dental</t>
  </si>
  <si>
    <t>Vision</t>
  </si>
  <si>
    <t>Child Support</t>
  </si>
  <si>
    <t>Every pay period</t>
  </si>
  <si>
    <t>Once monthly</t>
  </si>
  <si>
    <t>Deductions:</t>
  </si>
  <si>
    <t>Annualized:</t>
  </si>
  <si>
    <t>Person1 - Employer</t>
  </si>
  <si>
    <t>Year-to-Date Income, Bi-weekly</t>
  </si>
  <si>
    <t>Last Paydate counted:</t>
  </si>
  <si>
    <t>Year-to-Date gross income:</t>
  </si>
  <si>
    <t>Annualized income:</t>
  </si>
  <si>
    <t>Year-to-Date Income, Weekly</t>
  </si>
  <si>
    <t>First Paydate counted:</t>
  </si>
  <si>
    <t>Name - Employer</t>
  </si>
  <si>
    <t>Annualized</t>
  </si>
  <si>
    <t>Spousal Support</t>
  </si>
  <si>
    <t>Weeks</t>
  </si>
  <si>
    <t>Months</t>
  </si>
  <si>
    <t>First Date</t>
  </si>
  <si>
    <t>Last Date</t>
  </si>
  <si>
    <t>Percent of Year</t>
  </si>
  <si>
    <t>Job 1:</t>
  </si>
  <si>
    <t>Job 2:</t>
  </si>
  <si>
    <t>Contract Periods</t>
  </si>
  <si>
    <t>Leave Range</t>
  </si>
  <si>
    <t>P1 Contract:</t>
  </si>
  <si>
    <t>P2 Contract:</t>
  </si>
  <si>
    <t>P1 Leave:</t>
  </si>
  <si>
    <t>P2 Leave:</t>
  </si>
  <si>
    <t>Weekly amount</t>
  </si>
  <si>
    <t>Balance</t>
  </si>
  <si>
    <t>Temp income end date</t>
  </si>
  <si>
    <t>Weeks remaining</t>
  </si>
  <si>
    <t>Date last received</t>
  </si>
  <si>
    <t>Unemployment Compensation Calculator</t>
  </si>
  <si>
    <t>[Recipient Name]</t>
  </si>
  <si>
    <t>Date:</t>
  </si>
  <si>
    <t>Payment:</t>
  </si>
  <si>
    <t>-</t>
  </si>
  <si>
    <t>Today's date minus</t>
  </si>
  <si>
    <t>Calculation month</t>
  </si>
  <si>
    <t>Months Used:</t>
  </si>
  <si>
    <t>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</si>
</sst>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indexed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66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4" fontId="0" fillId="0" borderId="1" xfId="0" applyNumberFormat="1" applyBorder="1"/>
    <xf numFmtId="0" fontId="0" fillId="0" borderId="2" xfId="0" applyBorder="1"/>
    <xf numFmtId="0" fontId="0" fillId="0" borderId="3" xfId="0" applyBorder="1"/>
    <xf numFmtId="49" fontId="0" fillId="0" borderId="4" xfId="0" applyNumberFormat="1" applyBorder="1" applyAlignment="1">
      <alignment horizontal="right"/>
    </xf>
    <xf numFmtId="4" fontId="0" fillId="0" borderId="4" xfId="0" applyNumberFormat="1" applyBorder="1"/>
    <xf numFmtId="0" fontId="0" fillId="0" borderId="4" xfId="0" applyBorder="1"/>
    <xf numFmtId="0" fontId="0" fillId="0" borderId="5" xfId="0" applyBorder="1"/>
    <xf numFmtId="2" fontId="0" fillId="0" borderId="5" xfId="0" applyNumberFormat="1" applyBorder="1"/>
    <xf numFmtId="2" fontId="0" fillId="0" borderId="4" xfId="0" applyNumberFormat="1" applyBorder="1"/>
    <xf numFmtId="164" fontId="0" fillId="0" borderId="4" xfId="0" applyNumberFormat="1" applyBorder="1"/>
    <xf numFmtId="2" fontId="0" fillId="0" borderId="2" xfId="0" applyNumberFormat="1" applyBorder="1"/>
    <xf numFmtId="2" fontId="0" fillId="0" borderId="3" xfId="0" applyNumberFormat="1" applyBorder="1"/>
    <xf numFmtId="0" fontId="0" fillId="0" borderId="0" xfId="0" applyAlignment="1">
      <alignment horizontal="left"/>
    </xf>
    <xf numFmtId="1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44" fontId="0" fillId="0" borderId="0" xfId="1" applyFont="1"/>
    <xf numFmtId="14" fontId="0" fillId="0" borderId="4" xfId="0" applyNumberFormat="1" applyBorder="1"/>
    <xf numFmtId="167" fontId="0" fillId="0" borderId="4" xfId="0" applyNumberFormat="1" applyBorder="1"/>
    <xf numFmtId="168" fontId="0" fillId="0" borderId="4" xfId="1" applyNumberFormat="1" applyFont="1" applyBorder="1"/>
    <xf numFmtId="168" fontId="0" fillId="0" borderId="4" xfId="0" applyNumberFormat="1" applyBorder="1"/>
    <xf numFmtId="0" fontId="5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0" fontId="5" fillId="0" borderId="0" xfId="0" applyFont="1"/>
    <xf numFmtId="165" fontId="0" fillId="0" borderId="0" xfId="0" applyNumberFormat="1"/>
    <xf numFmtId="169" fontId="0" fillId="0" borderId="0" xfId="0" quotePrefix="1" applyNumberFormat="1"/>
    <xf numFmtId="169" fontId="4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0" fillId="2" borderId="0" xfId="0" applyFill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165" fontId="0" fillId="0" borderId="4" xfId="0" applyNumberFormat="1" applyBorder="1" applyAlignment="1">
      <alignment horizontal="right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9" xfId="0" quotePrefix="1" applyNumberFormat="1" applyBorder="1" applyAlignment="1">
      <alignment horizontal="center"/>
    </xf>
    <xf numFmtId="0" fontId="0" fillId="0" borderId="0" xfId="0"/>
    <xf numFmtId="0" fontId="0" fillId="0" borderId="6" xfId="0" applyBorder="1" applyAlignment="1">
      <alignment horizontal="right" indent="1" shrinkToFit="1"/>
    </xf>
    <xf numFmtId="0" fontId="0" fillId="0" borderId="7" xfId="0" applyBorder="1" applyAlignment="1">
      <alignment horizontal="right" indent="1" shrinkToFit="1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 vertical="top" shrinkToFit="1"/>
    </xf>
    <xf numFmtId="0" fontId="0" fillId="0" borderId="8" xfId="0" applyBorder="1" applyAlignment="1">
      <alignment horizontal="center"/>
    </xf>
    <xf numFmtId="170" fontId="0" fillId="0" borderId="0" xfId="0" applyNumberFormat="1" applyAlignment="1">
      <alignment horizontal="center"/>
    </xf>
    <xf numFmtId="0" fontId="4" fillId="0" borderId="8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120650</xdr:rowOff>
        </xdr:from>
        <xdr:to>
          <xdr:col>2</xdr:col>
          <xdr:colOff>654050</xdr:colOff>
          <xdr:row>32</xdr:row>
          <xdr:rowOff>127000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19050</xdr:rowOff>
        </xdr:from>
        <xdr:to>
          <xdr:col>0</xdr:col>
          <xdr:colOff>1060450</xdr:colOff>
          <xdr:row>30</xdr:row>
          <xdr:rowOff>12700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12700</xdr:rowOff>
        </xdr:from>
        <xdr:to>
          <xdr:col>1</xdr:col>
          <xdr:colOff>1041400</xdr:colOff>
          <xdr:row>30</xdr:row>
          <xdr:rowOff>12700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12700</xdr:rowOff>
        </xdr:from>
        <xdr:to>
          <xdr:col>2</xdr:col>
          <xdr:colOff>1073150</xdr:colOff>
          <xdr:row>30</xdr:row>
          <xdr:rowOff>19050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133350</xdr:rowOff>
        </xdr:from>
        <xdr:to>
          <xdr:col>1</xdr:col>
          <xdr:colOff>431800</xdr:colOff>
          <xdr:row>32</xdr:row>
          <xdr:rowOff>133350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120650</xdr:rowOff>
        </xdr:from>
        <xdr:to>
          <xdr:col>2</xdr:col>
          <xdr:colOff>654050</xdr:colOff>
          <xdr:row>32</xdr:row>
          <xdr:rowOff>127000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19050</xdr:rowOff>
        </xdr:from>
        <xdr:to>
          <xdr:col>0</xdr:col>
          <xdr:colOff>1060450</xdr:colOff>
          <xdr:row>30</xdr:row>
          <xdr:rowOff>12700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12700</xdr:rowOff>
        </xdr:from>
        <xdr:to>
          <xdr:col>1</xdr:col>
          <xdr:colOff>1041400</xdr:colOff>
          <xdr:row>30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12700</xdr:rowOff>
        </xdr:from>
        <xdr:to>
          <xdr:col>2</xdr:col>
          <xdr:colOff>1073150</xdr:colOff>
          <xdr:row>30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133350</xdr:rowOff>
        </xdr:from>
        <xdr:to>
          <xdr:col>1</xdr:col>
          <xdr:colOff>431800</xdr:colOff>
          <xdr:row>32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30</xdr:row>
          <xdr:rowOff>114300</xdr:rowOff>
        </xdr:from>
        <xdr:to>
          <xdr:col>2</xdr:col>
          <xdr:colOff>654050</xdr:colOff>
          <xdr:row>32</xdr:row>
          <xdr:rowOff>120650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12700</xdr:rowOff>
        </xdr:from>
        <xdr:to>
          <xdr:col>0</xdr:col>
          <xdr:colOff>1060450</xdr:colOff>
          <xdr:row>30</xdr:row>
          <xdr:rowOff>6350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</xdr:colOff>
          <xdr:row>28</xdr:row>
          <xdr:rowOff>6350</xdr:rowOff>
        </xdr:from>
        <xdr:to>
          <xdr:col>1</xdr:col>
          <xdr:colOff>1041400</xdr:colOff>
          <xdr:row>30</xdr:row>
          <xdr:rowOff>6350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28</xdr:row>
          <xdr:rowOff>6350</xdr:rowOff>
        </xdr:from>
        <xdr:to>
          <xdr:col>2</xdr:col>
          <xdr:colOff>1073150</xdr:colOff>
          <xdr:row>30</xdr:row>
          <xdr:rowOff>12700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127000</xdr:rowOff>
        </xdr:from>
        <xdr:to>
          <xdr:col>1</xdr:col>
          <xdr:colOff>431800</xdr:colOff>
          <xdr:row>32</xdr:row>
          <xdr:rowOff>127000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31</xdr:row>
          <xdr:rowOff>50800</xdr:rowOff>
        </xdr:from>
        <xdr:to>
          <xdr:col>3</xdr:col>
          <xdr:colOff>203200</xdr:colOff>
          <xdr:row>33</xdr:row>
          <xdr:rowOff>57150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69850</xdr:rowOff>
        </xdr:from>
        <xdr:to>
          <xdr:col>0</xdr:col>
          <xdr:colOff>1060450</xdr:colOff>
          <xdr:row>30</xdr:row>
          <xdr:rowOff>63500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1149350</xdr:colOff>
          <xdr:row>28</xdr:row>
          <xdr:rowOff>63500</xdr:rowOff>
        </xdr:from>
        <xdr:to>
          <xdr:col>1</xdr:col>
          <xdr:colOff>590550</xdr:colOff>
          <xdr:row>30</xdr:row>
          <xdr:rowOff>63500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673100</xdr:colOff>
          <xdr:row>28</xdr:row>
          <xdr:rowOff>63500</xdr:rowOff>
        </xdr:from>
        <xdr:to>
          <xdr:col>3</xdr:col>
          <xdr:colOff>666750</xdr:colOff>
          <xdr:row>30</xdr:row>
          <xdr:rowOff>69850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31</xdr:row>
          <xdr:rowOff>63500</xdr:rowOff>
        </xdr:from>
        <xdr:to>
          <xdr:col>0</xdr:col>
          <xdr:colOff>1517650</xdr:colOff>
          <xdr:row>33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21</xdr:row>
          <xdr:rowOff>139700</xdr:rowOff>
        </xdr:from>
        <xdr:to>
          <xdr:col>9</xdr:col>
          <xdr:colOff>196850</xdr:colOff>
          <xdr:row>23</xdr:row>
          <xdr:rowOff>127000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24</xdr:row>
          <xdr:rowOff>82550</xdr:rowOff>
        </xdr:from>
        <xdr:to>
          <xdr:col>9</xdr:col>
          <xdr:colOff>158750</xdr:colOff>
          <xdr:row>26</xdr:row>
          <xdr:rowOff>101600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7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7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7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7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30</xdr:row>
          <xdr:rowOff>127000</xdr:rowOff>
        </xdr:from>
        <xdr:to>
          <xdr:col>2</xdr:col>
          <xdr:colOff>603250</xdr:colOff>
          <xdr:row>32</xdr:row>
          <xdr:rowOff>133350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25400</xdr:rowOff>
        </xdr:from>
        <xdr:to>
          <xdr:col>0</xdr:col>
          <xdr:colOff>1060450</xdr:colOff>
          <xdr:row>30</xdr:row>
          <xdr:rowOff>19050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8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1092200</xdr:colOff>
          <xdr:row>28</xdr:row>
          <xdr:rowOff>19050</xdr:rowOff>
        </xdr:from>
        <xdr:to>
          <xdr:col>2</xdr:col>
          <xdr:colOff>1022350</xdr:colOff>
          <xdr:row>30</xdr:row>
          <xdr:rowOff>25400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387350</xdr:colOff>
          <xdr:row>30</xdr:row>
          <xdr:rowOff>139700</xdr:rowOff>
        </xdr:from>
        <xdr:to>
          <xdr:col>1</xdr:col>
          <xdr:colOff>400050</xdr:colOff>
          <xdr:row>32</xdr:row>
          <xdr:rowOff>139700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8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7"/>
  <sheetViews>
    <sheetView tabSelected="1" zoomScaleNormal="100" workbookViewId="0">
      <selection activeCell="A2" sqref="A2:B2"/>
    </sheetView>
  </sheetViews>
  <sheetFormatPr defaultColWidth="11.54296875" defaultRowHeight="12.5" x14ac:dyDescent="0.25"/>
  <cols>
    <col min="1" max="6" width="15.54296875" customWidth="1"/>
    <col min="7" max="7" width="11.54296875" customWidth="1"/>
    <col min="8" max="8" width="24.1796875" customWidth="1"/>
  </cols>
  <sheetData>
    <row r="1" spans="1:6" x14ac:dyDescent="0.25">
      <c r="A1" s="22" t="s">
        <v>0</v>
      </c>
      <c r="B1" s="22" t="s">
        <v>2</v>
      </c>
      <c r="C1" s="22" t="s">
        <v>0</v>
      </c>
      <c r="D1" s="22" t="s">
        <v>2</v>
      </c>
      <c r="E1" s="3"/>
    </row>
    <row r="2" spans="1:6" ht="16" customHeight="1" x14ac:dyDescent="0.25">
      <c r="A2" s="55" t="s">
        <v>14</v>
      </c>
      <c r="B2" s="56"/>
      <c r="C2" s="55"/>
      <c r="D2" s="56"/>
      <c r="E2" s="3"/>
    </row>
    <row r="3" spans="1:6" ht="16" customHeight="1" x14ac:dyDescent="0.25">
      <c r="A3" s="15"/>
      <c r="B3" s="6"/>
      <c r="C3" s="15"/>
      <c r="D3" s="6"/>
      <c r="E3" s="3"/>
    </row>
    <row r="4" spans="1:6" x14ac:dyDescent="0.25">
      <c r="A4" s="16"/>
      <c r="B4" s="7"/>
      <c r="C4" s="16"/>
      <c r="D4" s="7"/>
      <c r="E4" s="3"/>
    </row>
    <row r="5" spans="1:6" x14ac:dyDescent="0.25">
      <c r="A5" s="16"/>
      <c r="B5" s="7"/>
      <c r="C5" s="16"/>
      <c r="D5" s="7"/>
      <c r="E5" s="3"/>
    </row>
    <row r="6" spans="1:6" x14ac:dyDescent="0.25">
      <c r="A6" s="16"/>
      <c r="B6" s="7"/>
      <c r="C6" s="16"/>
      <c r="D6" s="7"/>
      <c r="E6" s="3"/>
    </row>
    <row r="7" spans="1:6" x14ac:dyDescent="0.25">
      <c r="A7" s="16"/>
      <c r="B7" s="7"/>
      <c r="C7" s="16"/>
      <c r="D7" s="7"/>
      <c r="E7" s="3"/>
    </row>
    <row r="8" spans="1:6" x14ac:dyDescent="0.25">
      <c r="A8" s="16"/>
      <c r="B8" s="7"/>
      <c r="C8" s="16"/>
      <c r="D8" s="7"/>
      <c r="E8" s="3"/>
    </row>
    <row r="9" spans="1:6" x14ac:dyDescent="0.25">
      <c r="A9" s="16"/>
      <c r="B9" s="7"/>
      <c r="C9" s="16"/>
      <c r="D9" s="7"/>
      <c r="E9" s="3"/>
    </row>
    <row r="10" spans="1:6" x14ac:dyDescent="0.25">
      <c r="A10" s="16"/>
      <c r="B10" s="7"/>
      <c r="C10" s="16"/>
      <c r="D10" s="7"/>
      <c r="E10" s="3"/>
    </row>
    <row r="11" spans="1:6" x14ac:dyDescent="0.25">
      <c r="A11" s="16"/>
      <c r="B11" s="11"/>
      <c r="C11" s="16"/>
      <c r="D11" s="11"/>
      <c r="E11" s="3"/>
    </row>
    <row r="12" spans="1:6" x14ac:dyDescent="0.25">
      <c r="A12" s="8" t="s">
        <v>1</v>
      </c>
      <c r="B12" s="8" t="s">
        <v>1</v>
      </c>
      <c r="C12" s="8" t="s">
        <v>1</v>
      </c>
      <c r="D12" s="8" t="s">
        <v>1</v>
      </c>
      <c r="E12" s="4"/>
      <c r="F12" s="1"/>
    </row>
    <row r="13" spans="1:6" x14ac:dyDescent="0.25">
      <c r="A13" s="9" t="str">
        <f>IF(AND(COUNTA(A3:A11), A2&lt;&gt;"Person1 - Employer"),AVERAGE(A3:A11), "")</f>
        <v/>
      </c>
      <c r="B13" s="14" t="str">
        <f>IF(COUNTA(B3:B11),AVERAGE(B3:B11), "")</f>
        <v/>
      </c>
      <c r="C13" s="9" t="str">
        <f>IF(AND(COUNTA(C3:C11), C2&lt;&gt;"Person1 - Employer"),AVERAGE(C3:C11), "")</f>
        <v/>
      </c>
      <c r="D13" s="14" t="str">
        <f>IF(COUNTA(D3:D11),AVERAGE(D3:D11), "")</f>
        <v/>
      </c>
      <c r="E13" s="5"/>
      <c r="F13" s="2"/>
    </row>
    <row r="14" spans="1:6" x14ac:dyDescent="0.25">
      <c r="A14" s="8" t="s">
        <v>13</v>
      </c>
      <c r="B14" s="8" t="s">
        <v>5</v>
      </c>
      <c r="C14" s="8" t="s">
        <v>13</v>
      </c>
      <c r="D14" s="8" t="s">
        <v>5</v>
      </c>
      <c r="E14" s="4"/>
      <c r="F14" s="1"/>
    </row>
    <row r="15" spans="1:6" x14ac:dyDescent="0.25">
      <c r="A15" s="9" t="str">
        <f>IF(A13&lt;&gt;"", (A13*26*IF(D40 &lt;&gt;"",D40, 1)*IF(D36&lt;&gt;"", D36, 1)), "")</f>
        <v/>
      </c>
      <c r="B15" s="14" t="str">
        <f>IF(B13&lt;&gt;"",B13/2, "")</f>
        <v/>
      </c>
      <c r="C15" s="9" t="str">
        <f>IF(C13&lt;&gt;"", (C13)*26*IF(D41 &lt;&gt;"",D41, 1)*IF(D37&lt;&gt;"", D37, 1), "")</f>
        <v/>
      </c>
      <c r="D15" s="14" t="str">
        <f>IF(D13&lt;&gt;"",D13/2, "")</f>
        <v/>
      </c>
      <c r="E15" s="5"/>
      <c r="F15" s="2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IF(A$15&lt;&gt;"", _xlfn.TEXTJOIN(" ", TRUE, A$2&amp;": BW avg $"&amp;TEXT(A$13, "0.00")&amp;", "&amp;TEXT(B$15,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BW avg $"&amp;TEXT(C$13, "0.00")&amp;", "&amp;TEXT(D$15,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3" spans="1:5" ht="13" x14ac:dyDescent="0.3">
      <c r="A33" s="23"/>
      <c r="B33" s="23"/>
      <c r="C33" s="23"/>
      <c r="D33" s="23"/>
      <c r="E33" s="23"/>
    </row>
    <row r="35" spans="1:5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5" x14ac:dyDescent="0.25">
      <c r="A36" t="s">
        <v>29</v>
      </c>
      <c r="D36" s="26" t="str">
        <f>IF(COUNTA(B36),B36/52,IF(COUNTA(C36),C36/12,""))</f>
        <v/>
      </c>
    </row>
    <row r="37" spans="1:5" x14ac:dyDescent="0.25">
      <c r="A37" t="s">
        <v>30</v>
      </c>
      <c r="D37" s="26" t="str">
        <f>IF(COUNTA(B37),B37/52,IF(COUNTA(C37),C37/12,""))</f>
        <v/>
      </c>
    </row>
    <row r="39" spans="1:5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5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5" x14ac:dyDescent="0.25">
      <c r="A41" t="s">
        <v>30</v>
      </c>
      <c r="D41" s="26" t="str">
        <f>IF(COUNTA(B41, C41)=2, (1-((DATEDIF(B41,C41,"d")+1)/365)), "")</f>
        <v/>
      </c>
    </row>
    <row r="43" spans="1:5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5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5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5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dataValidations count="1">
    <dataValidation type="list" allowBlank="1" showInputMessage="1" showErrorMessage="1" sqref="C18" xr:uid="{3BFABA03-8C92-4E72-B73F-15DF5EE2E000}">
      <formula1>"Once Monthly, Twice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ignoredErrors>
    <ignoredError sqref="C15 B13:C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120650</xdr:rowOff>
                  </from>
                  <to>
                    <xdr:col>2</xdr:col>
                    <xdr:colOff>654050</xdr:colOff>
                    <xdr:row>32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1060450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12700</xdr:rowOff>
                  </from>
                  <to>
                    <xdr:col>1</xdr:col>
                    <xdr:colOff>1041400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12700</xdr:rowOff>
                  </from>
                  <to>
                    <xdr:col>2</xdr:col>
                    <xdr:colOff>1073150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133350</xdr:rowOff>
                  </from>
                  <to>
                    <xdr:col>1</xdr:col>
                    <xdr:colOff>431800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7"/>
  <sheetViews>
    <sheetView zoomScaleNormal="100" workbookViewId="0">
      <selection activeCell="A2" sqref="A2:B2"/>
    </sheetView>
  </sheetViews>
  <sheetFormatPr defaultColWidth="11.54296875" defaultRowHeight="12.5" x14ac:dyDescent="0.25"/>
  <cols>
    <col min="1" max="5" width="15.54296875" customWidth="1"/>
  </cols>
  <sheetData>
    <row r="1" spans="1:5" x14ac:dyDescent="0.25">
      <c r="A1" s="22" t="s">
        <v>3</v>
      </c>
      <c r="B1" s="22" t="s">
        <v>2</v>
      </c>
      <c r="C1" s="22" t="s">
        <v>3</v>
      </c>
      <c r="D1" s="22" t="s">
        <v>2</v>
      </c>
      <c r="E1" s="3"/>
    </row>
    <row r="2" spans="1:5" ht="16" customHeight="1" x14ac:dyDescent="0.25">
      <c r="A2" s="55" t="s">
        <v>14</v>
      </c>
      <c r="B2" s="56"/>
      <c r="C2" s="55"/>
      <c r="D2" s="56"/>
    </row>
    <row r="3" spans="1:5" ht="16" customHeight="1" x14ac:dyDescent="0.25">
      <c r="A3" s="15"/>
      <c r="B3" s="6"/>
      <c r="C3" s="15"/>
      <c r="D3" s="6"/>
    </row>
    <row r="4" spans="1:5" x14ac:dyDescent="0.25">
      <c r="A4" s="16"/>
      <c r="B4" s="7"/>
      <c r="C4" s="16"/>
      <c r="D4" s="7"/>
    </row>
    <row r="5" spans="1:5" x14ac:dyDescent="0.25">
      <c r="A5" s="16"/>
      <c r="B5" s="7"/>
      <c r="C5" s="16"/>
      <c r="D5" s="7"/>
    </row>
    <row r="6" spans="1:5" x14ac:dyDescent="0.25">
      <c r="A6" s="16"/>
      <c r="B6" s="7"/>
      <c r="C6" s="16"/>
      <c r="D6" s="7"/>
    </row>
    <row r="7" spans="1:5" x14ac:dyDescent="0.25">
      <c r="A7" s="16"/>
      <c r="B7" s="7"/>
      <c r="C7" s="16"/>
      <c r="D7" s="7"/>
    </row>
    <row r="8" spans="1:5" x14ac:dyDescent="0.25">
      <c r="A8" s="16"/>
      <c r="B8" s="7"/>
      <c r="C8" s="16"/>
      <c r="D8" s="7"/>
    </row>
    <row r="9" spans="1:5" x14ac:dyDescent="0.25">
      <c r="A9" s="16"/>
      <c r="B9" s="7"/>
      <c r="C9" s="16"/>
      <c r="D9" s="7"/>
    </row>
    <row r="10" spans="1:5" x14ac:dyDescent="0.25">
      <c r="A10" s="16"/>
      <c r="B10" s="7"/>
      <c r="C10" s="16"/>
      <c r="D10" s="7"/>
    </row>
    <row r="11" spans="1:5" x14ac:dyDescent="0.25">
      <c r="A11" s="16"/>
      <c r="B11" s="11"/>
      <c r="C11" s="12"/>
      <c r="D11" s="11"/>
    </row>
    <row r="12" spans="1:5" x14ac:dyDescent="0.25">
      <c r="A12" s="8" t="s">
        <v>1</v>
      </c>
      <c r="B12" s="8" t="s">
        <v>1</v>
      </c>
      <c r="C12" s="8" t="s">
        <v>1</v>
      </c>
      <c r="D12" s="8" t="s">
        <v>1</v>
      </c>
    </row>
    <row r="13" spans="1:5" x14ac:dyDescent="0.25">
      <c r="A13" s="9" t="str">
        <f>IF(AND(COUNTA(A3:A11), A2&lt;&gt;"Person1 - Employer"),AVERAGE(A3:A11), "")</f>
        <v/>
      </c>
      <c r="B13" s="14" t="str">
        <f>IF(COUNTA(B3:B11),AVERAGE(B3:B11), "")</f>
        <v/>
      </c>
      <c r="C13" s="9" t="str">
        <f>IF(AND(COUNTA(C3:C11), C2&lt;&gt;"Person1 - Employer"),AVERAGE(C3:C11), "")</f>
        <v/>
      </c>
      <c r="D13" s="14" t="str">
        <f>IF(COUNTA(D3:D11),AVERAGE(D3:D11), "")</f>
        <v/>
      </c>
    </row>
    <row r="14" spans="1:5" x14ac:dyDescent="0.25">
      <c r="A14" s="8" t="s">
        <v>13</v>
      </c>
      <c r="B14" s="8" t="s">
        <v>5</v>
      </c>
      <c r="C14" s="8" t="s">
        <v>13</v>
      </c>
      <c r="D14" s="8" t="s">
        <v>5</v>
      </c>
    </row>
    <row r="15" spans="1:5" x14ac:dyDescent="0.25">
      <c r="A15" s="9" t="str">
        <f>IF(A13&lt;&gt;"", (A13)*24*IF(D40 &lt;&gt;"",D40, 1)*IF(D36&lt;&gt;"", D36, 1), "")</f>
        <v/>
      </c>
      <c r="B15" s="14" t="str">
        <f>IF(AND(B3&lt;&gt;"", A2&lt;&gt;"Person1 - Employer"),B13*24/52, "")</f>
        <v/>
      </c>
      <c r="C15" s="9" t="str">
        <f>IF(C13&lt;&gt;"", (C13)*24*IF(D41 &lt;&gt;"",D41, 1)*IF(D37&lt;&gt;"", D37, 1), "")</f>
        <v/>
      </c>
      <c r="D15" s="14" t="str">
        <f>IF(AND(D3&lt;&gt;"", C2&lt;&gt;"Person2 - Employer"),D13*24/52, "")</f>
        <v/>
      </c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IF(COUNTA(B19:C19),B19*24+C19*12,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IF(COUNTA(B20:C20),B20*24+C20*12,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IF(COUNTA(B21:C21),B21*24+C21*12,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IF(COUNTA(B22:C22),B22*24+C22*12,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IF(COUNTA(B23:C23),B23*24+C23*12, "")</f>
        <v/>
      </c>
    </row>
    <row r="25" spans="1:5" ht="13" x14ac:dyDescent="0.3">
      <c r="A25" s="57" t="str">
        <f>IF(A$15&lt;&gt;"", _xlfn.TEXTJOIN(" ", TRUE, A$2&amp;": SM avg $"&amp;TEXT(A$13, "0.00")&amp;", "&amp;TEXT(B$15,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SM avg $"&amp;TEXT(C$13, "0.00")&amp;", "&amp;TEXT(D$15,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SM $" &amp; TEXT(B19,"0.00") &amp; ", ", "") &amp; IF(C19, "Medical: MO $" &amp; TEXT(C19,"0.00") &amp; ", ", "") &amp; IF(B20, "Dental: SM $" &amp; TEXT(B20,"0.00") &amp; ", ", "") &amp; IF(C20, "Dental: MO $" &amp; TEXT(C20,"0.00") &amp; ", ", "") &amp; IF(B21, "Vision: SM $" &amp; TEXT(B21,"0.00") &amp; ", ", "") &amp; IF(C21, "Vision: MO $" &amp; TEXT(C21,"0.00") &amp; ", ", "") &amp; IF(B22, "CS Paid: SM $" &amp; TEXT(B22,"0.00") &amp; ", ", "") &amp; IF(C22, "CS Paid: MO $" &amp; TEXT(C22,"0.00") &amp; ", ", "") &amp; IF(B23, "SS Paid: SM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3" spans="1:4" x14ac:dyDescent="0.25">
      <c r="A33" s="17"/>
      <c r="B33" s="17"/>
      <c r="C33" s="17"/>
      <c r="D33" s="1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7" spans="1:4" x14ac:dyDescent="0.25">
      <c r="A37" t="s">
        <v>30</v>
      </c>
      <c r="D37" s="26" t="str">
        <f>IF(COUNTA(B37),B37/52,IF(COUNTA(C37),C37/12,""))</f>
        <v/>
      </c>
    </row>
    <row r="39" spans="1:4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4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4" x14ac:dyDescent="0.25">
      <c r="A41" t="s">
        <v>30</v>
      </c>
      <c r="D41" s="26" t="str">
        <f>IF(COUNTA(B41, C41)=2, (1-((DATEDIF(B41,C41,"d")+1)/365)), "")</f>
        <v/>
      </c>
    </row>
    <row r="43" spans="1:4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4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4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4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printOptions horizontalCentered="1"/>
  <pageMargins left="0.7" right="0.7" top="2" bottom="0.75" header="0.3" footer="0.3"/>
  <pageSetup orientation="portrait" horizontalDpi="300" verticalDpi="300" r:id="rId2"/>
  <headerFooter alignWithMargins="0">
    <oddHeader>&amp;C&amp;"Times New Roman,Regular"&amp;12Prepared on &amp;D</oddHeader>
    <oddFooter>&amp;C&amp;"Times New Roman,Regular"&amp;12Prepared on &amp;D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120650</xdr:rowOff>
                  </from>
                  <to>
                    <xdr:col>2</xdr:col>
                    <xdr:colOff>654050</xdr:colOff>
                    <xdr:row>32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1060450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12700</xdr:rowOff>
                  </from>
                  <to>
                    <xdr:col>1</xdr:col>
                    <xdr:colOff>1041400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12700</xdr:rowOff>
                  </from>
                  <to>
                    <xdr:col>2</xdr:col>
                    <xdr:colOff>1073150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133350</xdr:rowOff>
                  </from>
                  <to>
                    <xdr:col>1</xdr:col>
                    <xdr:colOff>431800</xdr:colOff>
                    <xdr:row>32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7"/>
  <sheetViews>
    <sheetView zoomScaleNormal="100" workbookViewId="0">
      <selection activeCell="A2" sqref="A2:B2"/>
    </sheetView>
  </sheetViews>
  <sheetFormatPr defaultColWidth="11.54296875" defaultRowHeight="12.5" x14ac:dyDescent="0.25"/>
  <cols>
    <col min="1" max="5" width="15.54296875" customWidth="1"/>
  </cols>
  <sheetData>
    <row r="1" spans="1:4" x14ac:dyDescent="0.25">
      <c r="A1" s="22" t="s">
        <v>4</v>
      </c>
      <c r="B1" s="22" t="s">
        <v>2</v>
      </c>
      <c r="C1" s="22" t="s">
        <v>4</v>
      </c>
      <c r="D1" s="22" t="s">
        <v>2</v>
      </c>
    </row>
    <row r="2" spans="1:4" ht="16" customHeight="1" x14ac:dyDescent="0.25">
      <c r="A2" s="55" t="s">
        <v>14</v>
      </c>
      <c r="B2" s="56"/>
      <c r="C2" s="55"/>
      <c r="D2" s="56"/>
    </row>
    <row r="3" spans="1:4" ht="16" customHeight="1" x14ac:dyDescent="0.25">
      <c r="A3" s="16"/>
      <c r="B3" s="7"/>
      <c r="C3" s="16"/>
      <c r="D3" s="7"/>
    </row>
    <row r="4" spans="1:4" x14ac:dyDescent="0.25">
      <c r="A4" s="16"/>
      <c r="B4" s="7"/>
      <c r="C4" s="16"/>
      <c r="D4" s="7"/>
    </row>
    <row r="5" spans="1:4" x14ac:dyDescent="0.25">
      <c r="A5" s="16"/>
      <c r="B5" s="7"/>
      <c r="C5" s="16"/>
      <c r="D5" s="7"/>
    </row>
    <row r="6" spans="1:4" x14ac:dyDescent="0.25">
      <c r="A6" s="16"/>
      <c r="B6" s="7"/>
      <c r="C6" s="16"/>
      <c r="D6" s="7"/>
    </row>
    <row r="7" spans="1:4" x14ac:dyDescent="0.25">
      <c r="A7" s="16"/>
      <c r="B7" s="7"/>
      <c r="C7" s="16"/>
      <c r="D7" s="7"/>
    </row>
    <row r="8" spans="1:4" x14ac:dyDescent="0.25">
      <c r="A8" s="16"/>
      <c r="B8" s="7"/>
      <c r="C8" s="16"/>
      <c r="D8" s="7"/>
    </row>
    <row r="9" spans="1:4" x14ac:dyDescent="0.25">
      <c r="A9" s="16"/>
      <c r="B9" s="7"/>
      <c r="C9" s="16"/>
      <c r="D9" s="7"/>
    </row>
    <row r="10" spans="1:4" x14ac:dyDescent="0.25">
      <c r="A10" s="16"/>
      <c r="B10" s="7"/>
      <c r="C10" s="16"/>
      <c r="D10" s="7"/>
    </row>
    <row r="11" spans="1:4" x14ac:dyDescent="0.25">
      <c r="A11" s="16"/>
      <c r="B11" s="11"/>
      <c r="C11" s="12"/>
      <c r="D11" s="11"/>
    </row>
    <row r="12" spans="1:4" x14ac:dyDescent="0.25">
      <c r="A12" s="8" t="s">
        <v>1</v>
      </c>
      <c r="B12" s="8" t="s">
        <v>1</v>
      </c>
      <c r="C12" s="8" t="s">
        <v>1</v>
      </c>
      <c r="D12" s="8" t="s">
        <v>1</v>
      </c>
    </row>
    <row r="13" spans="1:4" x14ac:dyDescent="0.25">
      <c r="A13" s="9" t="str">
        <f>IF(COUNTA(A3:A11),AVERAGE(A3:A11), "")</f>
        <v/>
      </c>
      <c r="B13" s="14" t="str">
        <f>IF(COUNTA(B3:B11),AVERAGE(B3:B11), "")</f>
        <v/>
      </c>
      <c r="C13" s="9" t="str">
        <f>IF(COUNTA(C3:C11),AVERAGE(C3:C11), "")</f>
        <v/>
      </c>
      <c r="D13" s="14" t="str">
        <f>IF(COUNTA(D3:D11),AVERAGE(D3:D11), "")</f>
        <v/>
      </c>
    </row>
    <row r="14" spans="1:4" x14ac:dyDescent="0.25">
      <c r="A14" s="8" t="s">
        <v>13</v>
      </c>
      <c r="B14" s="8"/>
      <c r="C14" s="8" t="s">
        <v>13</v>
      </c>
      <c r="D14" s="8"/>
    </row>
    <row r="15" spans="1:4" x14ac:dyDescent="0.25">
      <c r="A15" s="9" t="str">
        <f>IF(A13&lt;&gt;"", A13*52*IF(D40 &lt;&gt;"",D40, 1)*IF(D36&lt;&gt;"", D36, 1), "")</f>
        <v/>
      </c>
      <c r="B15" s="9"/>
      <c r="C15" s="9" t="str">
        <f>IF(C13&lt;&gt;"", (C13)*52*IF(D41 &lt;&gt;"",D41, 1)*IF(D37&lt;&gt;"", D37, 1), "")</f>
        <v/>
      </c>
      <c r="D15" s="9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IF(A$15&lt;&gt;"", _xlfn.TEXTJOIN(" ", TRUE, A$2&amp;": WK avg $"&amp;TEXT(A$13, "0.00")&amp;", "&amp;TEXT(B$13, "0.0")&amp;"hr/wk; annual @ "&amp;TEXT(A$15,"0.00"), B43, B46), "")</f>
        <v/>
      </c>
      <c r="B25" s="57"/>
      <c r="C25" s="57"/>
      <c r="D25" s="57"/>
      <c r="E25" s="57"/>
    </row>
    <row r="26" spans="1:5" ht="13" x14ac:dyDescent="0.3">
      <c r="A26" s="57" t="str">
        <f>IF(C$15&lt;&gt;"", _xlfn.TEXTJOIN(" ", TRUE, C$2&amp;": WK avg $"&amp;TEXT(C$13, "0.00")&amp;", "&amp;TEXT(D$13, "0.0")&amp;"hr/wk; annual @ "&amp;TEXT(C$15,"0.00"), B44, B47), "")</f>
        <v/>
      </c>
      <c r="B26" s="57"/>
      <c r="C26" s="57"/>
      <c r="D26" s="57"/>
      <c r="E26" s="57"/>
    </row>
    <row r="27" spans="1:5" ht="13" x14ac:dyDescent="0.3">
      <c r="A27" s="57" t="str">
        <f>(IF(B19, "Medical: WK $" &amp; TEXT(B19,"0.00") &amp; ", ", "") &amp; IF(C19, "Medical: MO $" &amp; TEXT(C19,"0.00") &amp; ", ", "") &amp; IF(B20, "Dental: WK $" &amp; TEXT(B20,"0.00") &amp; ", ", "") &amp; IF(C20, "Dental: MO $" &amp; TEXT(C20,"0.00") &amp; ", ", "") &amp; IF(B21, "Vision: WK $" &amp; TEXT(B21,"0.00") &amp; ", ", "") &amp; IF(C21, "Vision: MO $" &amp; TEXT(C21,"0.00") &amp; ", ", "") &amp; IF(B22, "CS Paid: WK $" &amp; TEXT(B22,"0.00") &amp; ", ", "") &amp; IF(C22, "CS Paid: MO $" &amp; TEXT(C22,"0.00") &amp; ", ", "") &amp; IF(B23, "SS Paid: WK $" &amp; TEXT(B23,"0.00") &amp; ", ", "") &amp; IF(C23, "SS Paid: MO $" &amp; TEXT(C23,"0.00") &amp; ", ", "") &amp; IF(SUM(D19:D23) &gt; 0, "annual @ " &amp; TEXT(SUM(D19:D23),"0.00"), ""))</f>
        <v/>
      </c>
      <c r="B27" s="57"/>
      <c r="C27" s="57"/>
      <c r="D27" s="57"/>
      <c r="E27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7" spans="1:4" x14ac:dyDescent="0.25">
      <c r="A37" t="s">
        <v>30</v>
      </c>
      <c r="D37" s="26" t="str">
        <f>IF(COUNTA(B37),B37/52,IF(COUNTA(C37),C37/12,""))</f>
        <v/>
      </c>
    </row>
    <row r="39" spans="1:4" x14ac:dyDescent="0.25">
      <c r="A39" t="s">
        <v>32</v>
      </c>
      <c r="B39" s="25" t="s">
        <v>26</v>
      </c>
      <c r="C39" s="25" t="s">
        <v>27</v>
      </c>
      <c r="D39" s="25" t="s">
        <v>28</v>
      </c>
    </row>
    <row r="40" spans="1:4" x14ac:dyDescent="0.25">
      <c r="A40" t="s">
        <v>29</v>
      </c>
      <c r="B40" s="24"/>
      <c r="C40" s="24"/>
      <c r="D40" s="26" t="str">
        <f>IF(COUNTA(B40, C40)=2, (1-((DATEDIF(B40,C40,"d")+1)/365)), "")</f>
        <v/>
      </c>
    </row>
    <row r="41" spans="1:4" x14ac:dyDescent="0.25">
      <c r="A41" t="s">
        <v>30</v>
      </c>
      <c r="D41" s="26" t="str">
        <f>IF(COUNTA(B41, C41)=2, (1-((DATEDIF(B41,C41,"d")+1)/365)), "")</f>
        <v/>
      </c>
    </row>
    <row r="43" spans="1:4" x14ac:dyDescent="0.25">
      <c r="A43" t="s">
        <v>33</v>
      </c>
      <c r="B43" s="54" t="str">
        <f>IF(D36&lt;&gt;"",IF(COUNTA(B36),"(contract: "&amp; B36 &amp;"/52 weeks)","(contract: "&amp;C36&amp;"/12 months)"),"")</f>
        <v/>
      </c>
      <c r="C43" s="54"/>
      <c r="D43" s="54"/>
    </row>
    <row r="44" spans="1:4" x14ac:dyDescent="0.25">
      <c r="A44" t="s">
        <v>34</v>
      </c>
      <c r="B44" s="54" t="str">
        <f>IF(D37&lt;&gt;"",IF(COUNTA(B37),"(contract: "&amp; B37 &amp;"/52 weeks)","(contract: "&amp;C37&amp;"/12 months)"),"")</f>
        <v/>
      </c>
      <c r="C44" s="54"/>
      <c r="D44" s="54"/>
    </row>
    <row r="46" spans="1:4" x14ac:dyDescent="0.25">
      <c r="A46" t="s">
        <v>35</v>
      </c>
      <c r="B46" s="54" t="str">
        <f>IF(D40&lt;&gt;"","(Leave: "&amp;(DATEDIF(B40,C40,"d")+1)&amp;" days)","")</f>
        <v/>
      </c>
      <c r="C46" s="54"/>
      <c r="D46" s="54"/>
    </row>
    <row r="47" spans="1:4" x14ac:dyDescent="0.25">
      <c r="A47" t="s">
        <v>36</v>
      </c>
      <c r="B47" s="54" t="str">
        <f>IF(D41&lt;&gt;"","(Leave: "&amp;(DATEDIF(B41,C41,"d")+1)&amp;" days)","")</f>
        <v/>
      </c>
      <c r="C47" s="54"/>
      <c r="D47" s="54"/>
    </row>
  </sheetData>
  <sheetProtection selectLockedCells="1" selectUnlockedCells="1"/>
  <customSheetViews>
    <customSheetView guid="{292C5557-1FFE-4F9F-B4A6-F222AD2998EA}">
      <selection activeCell="A2" sqref="A2:B2"/>
      <pageMargins left="0.78749999999999998" right="0.78749999999999998" top="1.0527777777777778" bottom="1.0527777777777778" header="0.78749999999999998" footer="0.78749999999999998"/>
      <pageSetup orientation="portrait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D43"/>
    <mergeCell ref="B44:D44"/>
    <mergeCell ref="B46:D46"/>
    <mergeCell ref="B47:D47"/>
    <mergeCell ref="A2:B2"/>
    <mergeCell ref="C2:D2"/>
    <mergeCell ref="A25:E25"/>
    <mergeCell ref="A26:E26"/>
    <mergeCell ref="A27:E27"/>
  </mergeCells>
  <phoneticPr fontId="0" type="noConversion"/>
  <printOptions horizontalCentered="1"/>
  <pageMargins left="0.7" right="0.7" top="2" bottom="0.75" header="0.3" footer="0.3"/>
  <pageSetup orientation="portrait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ClearAll">
                <anchor moveWithCells="1" sizeWithCells="1">
                  <from>
                    <xdr:col>1</xdr:col>
                    <xdr:colOff>552450</xdr:colOff>
                    <xdr:row>30</xdr:row>
                    <xdr:rowOff>114300</xdr:rowOff>
                  </from>
                  <to>
                    <xdr:col>2</xdr:col>
                    <xdr:colOff>654050</xdr:colOff>
                    <xdr:row>32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12700</xdr:rowOff>
                  </from>
                  <to>
                    <xdr:col>0</xdr:col>
                    <xdr:colOff>1060450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Person2">
                <anchor moveWithCells="1" sizeWithCells="1">
                  <from>
                    <xdr:col>1</xdr:col>
                    <xdr:colOff>63500</xdr:colOff>
                    <xdr:row>28</xdr:row>
                    <xdr:rowOff>6350</xdr:rowOff>
                  </from>
                  <to>
                    <xdr:col>1</xdr:col>
                    <xdr:colOff>1041400</xdr:colOff>
                    <xdr:row>30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 12">
              <controlPr defaultSize="0" print="0" autoFill="0" autoPict="0" macro="[0]!CopyIncome">
                <anchor moveWithCells="1" sizeWithCells="1">
                  <from>
                    <xdr:col>2</xdr:col>
                    <xdr:colOff>38100</xdr:colOff>
                    <xdr:row>28</xdr:row>
                    <xdr:rowOff>6350</xdr:rowOff>
                  </from>
                  <to>
                    <xdr:col>2</xdr:col>
                    <xdr:colOff>1073150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utton 13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127000</xdr:rowOff>
                  </from>
                  <to>
                    <xdr:col>1</xdr:col>
                    <xdr:colOff>431800</xdr:colOff>
                    <xdr:row>32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47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5" x14ac:dyDescent="0.25">
      <c r="A1" s="58" t="s">
        <v>15</v>
      </c>
      <c r="B1" s="58"/>
      <c r="C1" s="58"/>
    </row>
    <row r="2" spans="1:5" x14ac:dyDescent="0.25">
      <c r="C2" s="17"/>
      <c r="E2" s="27"/>
    </row>
    <row r="3" spans="1:5" x14ac:dyDescent="0.25">
      <c r="A3" s="58" t="s">
        <v>21</v>
      </c>
      <c r="B3" s="58"/>
      <c r="C3" s="58"/>
      <c r="E3" s="27"/>
    </row>
    <row r="4" spans="1:5" x14ac:dyDescent="0.25">
      <c r="C4" s="17"/>
    </row>
    <row r="5" spans="1:5" x14ac:dyDescent="0.25">
      <c r="A5" s="59" t="s">
        <v>16</v>
      </c>
      <c r="B5" s="59"/>
      <c r="C5" s="18">
        <v>42005</v>
      </c>
    </row>
    <row r="6" spans="1:5" x14ac:dyDescent="0.25">
      <c r="C6" s="17"/>
    </row>
    <row r="7" spans="1:5" x14ac:dyDescent="0.25">
      <c r="A7" s="59" t="s">
        <v>17</v>
      </c>
      <c r="B7" s="59"/>
      <c r="C7" s="19"/>
    </row>
    <row r="8" spans="1:5" x14ac:dyDescent="0.25">
      <c r="C8" s="17"/>
    </row>
    <row r="9" spans="1:5" x14ac:dyDescent="0.25">
      <c r="A9" s="59" t="s">
        <v>18</v>
      </c>
      <c r="B9" s="59"/>
      <c r="C9" s="20" t="str">
        <f>IF(C7&lt;&gt;"", SUM(C7/(ROUNDDOWN(DATEDIF(DATE(YEAR(C5),1,1),C5,"d")/14+1,0))*26)*IF(D39 &lt;&gt;"",D39, 1)*IF(D36&lt;&gt;"", D36, 1), "")</f>
        <v/>
      </c>
    </row>
    <row r="10" spans="1:5" x14ac:dyDescent="0.25">
      <c r="C10" s="17"/>
    </row>
    <row r="17" spans="1:5" x14ac:dyDescent="0.25">
      <c r="C17" s="21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IF(A3&lt;&gt;"Name - Employer",_xlfn.TEXTJOIN(" ",TRUE,A3&amp;": YTD as of "&amp;TEXT(C5,"m/d/yy")&amp;": $"&amp;C7&amp;"; annual @ "&amp;TEXT(C9,"0.00"),B41,B43),"")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  <row r="44" spans="1:4" x14ac:dyDescent="0.25">
      <c r="B44" s="54"/>
      <c r="C44" s="54"/>
      <c r="D44" s="54"/>
    </row>
    <row r="46" spans="1:4" x14ac:dyDescent="0.25">
      <c r="B46" s="54"/>
      <c r="C46" s="54"/>
      <c r="D46" s="54"/>
    </row>
    <row r="47" spans="1:4" x14ac:dyDescent="0.25">
      <c r="B47" s="54"/>
      <c r="C47" s="54"/>
      <c r="D47" s="54"/>
    </row>
  </sheetData>
  <mergeCells count="12">
    <mergeCell ref="B43:D43"/>
    <mergeCell ref="B44:D44"/>
    <mergeCell ref="B46:D46"/>
    <mergeCell ref="B47:D47"/>
    <mergeCell ref="B41:D41"/>
    <mergeCell ref="A25:E25"/>
    <mergeCell ref="A26:E26"/>
    <mergeCell ref="A1:C1"/>
    <mergeCell ref="A3:C3"/>
    <mergeCell ref="A5:B5"/>
    <mergeCell ref="A7:B7"/>
    <mergeCell ref="A9:B9"/>
  </mergeCells>
  <dataValidations count="1">
    <dataValidation type="list" allowBlank="1" showInputMessage="1" showErrorMessage="1" sqref="C18" xr:uid="{D5396AE1-012C-4F0A-BDAE-6BCB732DDDB6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7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19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16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17</v>
      </c>
      <c r="B7" s="59"/>
      <c r="C7" s="19"/>
    </row>
    <row r="8" spans="1:3" x14ac:dyDescent="0.25">
      <c r="C8" s="17"/>
    </row>
    <row r="9" spans="1:3" x14ac:dyDescent="0.25">
      <c r="A9" s="59" t="s">
        <v>18</v>
      </c>
      <c r="B9" s="59"/>
      <c r="C9" s="20" t="str">
        <f>IF(C7&lt;&gt;"", SUM(C7/(ROUNDDOWN(DATEDIF(DATE(YEAR(C5),1,1),C5,"d")/7+1,0))*52)*IF(D39 &lt;&gt;"",D39, 1)*IF(D36&lt;&gt;"", D36, 1), "")</f>
        <v/>
      </c>
    </row>
    <row r="10" spans="1:3" x14ac:dyDescent="0.25">
      <c r="C10" s="17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IF(A3&lt;&gt;"Name - Employer", _xlfn.TEXTJOIN(" ",TRUE,A3 &amp; ": YTD as of " &amp; TEXT(C5,"m/d/yy") &amp; ": $" &amp; C7 &amp; "; annual @ " &amp; TEXT(C9,"0.00"),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WK $" &amp; TEXT(B19,"0.00") &amp; ", ", "") &amp; IF(C19, "Medical: MO $" &amp; TEXT(C19,"0.00") &amp; ", ", "") &amp; IF(B20, "Dental: WK $" &amp; TEXT(B20,"0.00") &amp; ", ", "") &amp; IF(C20, "Dental: MO $" &amp; TEXT(C20,"0.00") &amp; ", ", "") &amp; IF(B21, "Vision: WK $" &amp; TEXT(B21,"0.00") &amp; ", ", "") &amp; IF(C21, "Vision: MO $" &amp; TEXT(C21,"0.00") &amp; ", ", "") &amp; IF(B22, "CS Paid: WK $" &amp; TEXT(B22,"0.00") &amp; ", ", "") &amp; IF(C22, "CS Paid: MO $" &amp; TEXT(C22,"0.00") &amp; ", ", "") &amp; IF(B23, "SS Paid: WK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  <row r="44" spans="1:4" x14ac:dyDescent="0.25">
      <c r="B44" s="54"/>
      <c r="C44" s="54"/>
      <c r="D44" s="54"/>
    </row>
    <row r="46" spans="1:4" x14ac:dyDescent="0.25">
      <c r="B46" s="54"/>
      <c r="C46" s="54"/>
      <c r="D46" s="54"/>
    </row>
    <row r="47" spans="1:4" x14ac:dyDescent="0.25">
      <c r="B47" s="54"/>
      <c r="C47" s="54"/>
      <c r="D47" s="54"/>
    </row>
  </sheetData>
  <mergeCells count="12">
    <mergeCell ref="B43:D43"/>
    <mergeCell ref="B44:D44"/>
    <mergeCell ref="B46:D46"/>
    <mergeCell ref="B47:D47"/>
    <mergeCell ref="B41:D41"/>
    <mergeCell ref="A26:E26"/>
    <mergeCell ref="A25:E25"/>
    <mergeCell ref="A7:B7"/>
    <mergeCell ref="A9:B9"/>
    <mergeCell ref="A1:C1"/>
    <mergeCell ref="A3:C3"/>
    <mergeCell ref="A5:B5"/>
  </mergeCell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E26"/>
  <sheetViews>
    <sheetView workbookViewId="0">
      <selection activeCell="A4" sqref="A4"/>
    </sheetView>
  </sheetViews>
  <sheetFormatPr defaultRowHeight="12.5" x14ac:dyDescent="0.25"/>
  <cols>
    <col min="1" max="1" width="22" customWidth="1"/>
    <col min="2" max="2" width="10.81640625" customWidth="1"/>
    <col min="3" max="3" width="4.08984375" customWidth="1"/>
    <col min="4" max="4" width="21.54296875" customWidth="1"/>
    <col min="5" max="5" width="10.7265625" customWidth="1"/>
  </cols>
  <sheetData>
    <row r="1" spans="1:5" x14ac:dyDescent="0.25">
      <c r="A1" t="s">
        <v>42</v>
      </c>
      <c r="D1" t="s">
        <v>42</v>
      </c>
    </row>
    <row r="2" spans="1:5" x14ac:dyDescent="0.25">
      <c r="C2" s="29"/>
    </row>
    <row r="3" spans="1:5" x14ac:dyDescent="0.25">
      <c r="C3" s="29"/>
    </row>
    <row r="4" spans="1:5" x14ac:dyDescent="0.25">
      <c r="A4" s="28" t="s">
        <v>43</v>
      </c>
      <c r="C4" s="29"/>
      <c r="D4" s="28" t="s">
        <v>43</v>
      </c>
    </row>
    <row r="6" spans="1:5" x14ac:dyDescent="0.25">
      <c r="A6" t="s">
        <v>41</v>
      </c>
      <c r="B6" s="30"/>
      <c r="D6" t="s">
        <v>41</v>
      </c>
      <c r="E6" s="30"/>
    </row>
    <row r="7" spans="1:5" x14ac:dyDescent="0.25">
      <c r="A7" t="s">
        <v>37</v>
      </c>
      <c r="B7" s="32"/>
      <c r="D7" t="s">
        <v>37</v>
      </c>
      <c r="E7" s="32"/>
    </row>
    <row r="8" spans="1:5" x14ac:dyDescent="0.25">
      <c r="A8" t="s">
        <v>38</v>
      </c>
      <c r="B8" s="33"/>
      <c r="D8" t="s">
        <v>38</v>
      </c>
      <c r="E8" s="33"/>
    </row>
    <row r="10" spans="1:5" x14ac:dyDescent="0.25">
      <c r="A10" t="s">
        <v>40</v>
      </c>
      <c r="B10" s="31" t="str">
        <f>IF(COUNTA(B7:B8) = 2, B8/B7, "")</f>
        <v/>
      </c>
      <c r="D10" t="s">
        <v>40</v>
      </c>
      <c r="E10" s="31" t="str">
        <f>IF(COUNTA(E7:E8) = 2, E8/E7, "")</f>
        <v/>
      </c>
    </row>
    <row r="11" spans="1:5" x14ac:dyDescent="0.25">
      <c r="A11" t="s">
        <v>39</v>
      </c>
      <c r="B11" s="30" t="str">
        <f>IF(B10 &lt;&gt; "", B6+(B10*7), "")</f>
        <v/>
      </c>
      <c r="D11" t="s">
        <v>39</v>
      </c>
      <c r="E11" s="30" t="str">
        <f>IF(E10 &lt;&gt; "", E6+(E10*7), "")</f>
        <v/>
      </c>
    </row>
    <row r="25" spans="1:5" x14ac:dyDescent="0.25">
      <c r="A25" s="54" t="str">
        <f>IF(A4&lt;&gt;"[Recipient Name]", A4&amp;" - ", "")&amp;IF(B11 &lt;&gt; "", "UI: Balance of "&amp; TEXT(B8, "$0")&amp;" as of "&amp;TEXT(B6, "MM/DD/YY")&amp;". Weekly income "&amp;TEXT(B7, "$0")&amp;", funds expended "&amp;TEXT(B11, "MM/DD/YY")&amp;".", "")</f>
        <v/>
      </c>
      <c r="B25" s="54"/>
      <c r="C25" s="54"/>
      <c r="D25" s="54"/>
      <c r="E25" s="54"/>
    </row>
    <row r="26" spans="1:5" x14ac:dyDescent="0.25">
      <c r="A26" s="54" t="str">
        <f>IF(D4&lt;&gt;"[Recipient Name]", D4&amp;" - ", "")&amp;IF(E11 &lt;&gt; "", "UI: Balance of "&amp; TEXT(E8, "$0")&amp;" as of "&amp;TEXT(E6, "MM/DD/YY")&amp;". Weekly income "&amp;TEXT(E7, "$0")&amp;", funds expended "&amp;TEXT(E11, "MM/DD/YY")&amp;".", "")</f>
        <v/>
      </c>
      <c r="B26" s="54"/>
      <c r="C26" s="54"/>
      <c r="D26" s="54"/>
      <c r="E26" s="54"/>
    </row>
  </sheetData>
  <mergeCells count="2">
    <mergeCell ref="A25:E25"/>
    <mergeCell ref="A26:E26"/>
  </mergeCells>
  <pageMargins left="0.7" right="0.7" top="0.75" bottom="0.75" header="0.3" footer="0.3"/>
  <ignoredErrors>
    <ignoredError sqref="B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3" name="Button 4">
              <controlPr defaultSize="0" print="0" autoFill="0" autoPict="0" macro="[0]!ClearAll">
                <anchor moveWithCells="1" sizeWithCells="1">
                  <from>
                    <xdr:col>1</xdr:col>
                    <xdr:colOff>101600</xdr:colOff>
                    <xdr:row>31</xdr:row>
                    <xdr:rowOff>50800</xdr:rowOff>
                  </from>
                  <to>
                    <xdr:col>3</xdr:col>
                    <xdr:colOff>203200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4" name="Button 5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69850</xdr:rowOff>
                  </from>
                  <to>
                    <xdr:col>0</xdr:col>
                    <xdr:colOff>1060450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Person2">
                <anchor moveWithCells="1" sizeWithCells="1">
                  <from>
                    <xdr:col>0</xdr:col>
                    <xdr:colOff>1149350</xdr:colOff>
                    <xdr:row>28</xdr:row>
                    <xdr:rowOff>63500</xdr:rowOff>
                  </from>
                  <to>
                    <xdr:col>1</xdr:col>
                    <xdr:colOff>590550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CopyIncome">
                <anchor moveWithCells="1" sizeWithCells="1">
                  <from>
                    <xdr:col>1</xdr:col>
                    <xdr:colOff>673100</xdr:colOff>
                    <xdr:row>28</xdr:row>
                    <xdr:rowOff>63500</xdr:rowOff>
                  </from>
                  <to>
                    <xdr:col>3</xdr:col>
                    <xdr:colOff>666750</xdr:colOff>
                    <xdr:row>30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31</xdr:row>
                    <xdr:rowOff>63500</xdr:rowOff>
                  </from>
                  <to>
                    <xdr:col>0</xdr:col>
                    <xdr:colOff>1517650</xdr:colOff>
                    <xdr:row>33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K45"/>
  <sheetViews>
    <sheetView zoomScaleNormal="100" workbookViewId="0">
      <selection activeCell="A2" sqref="A2"/>
    </sheetView>
  </sheetViews>
  <sheetFormatPr defaultRowHeight="12.5" x14ac:dyDescent="0.25"/>
  <cols>
    <col min="1" max="1" width="9.453125" style="45" customWidth="1"/>
    <col min="2" max="2" width="2.7265625" customWidth="1"/>
    <col min="3" max="3" width="10.6328125" customWidth="1"/>
    <col min="4" max="4" width="4.6328125" customWidth="1"/>
    <col min="5" max="5" width="13.453125" customWidth="1"/>
    <col min="6" max="6" width="3.36328125" customWidth="1"/>
    <col min="7" max="7" width="9.542968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11" x14ac:dyDescent="0.25">
      <c r="A1" s="44" t="s">
        <v>44</v>
      </c>
      <c r="B1" s="34"/>
      <c r="C1" s="35" t="s">
        <v>45</v>
      </c>
      <c r="E1" s="28" t="s">
        <v>9</v>
      </c>
      <c r="G1" s="61" t="s">
        <v>49</v>
      </c>
      <c r="H1" s="61"/>
      <c r="I1" s="46">
        <v>6</v>
      </c>
      <c r="J1" s="47"/>
      <c r="K1" s="43"/>
    </row>
    <row r="2" spans="1:11" x14ac:dyDescent="0.25">
      <c r="A2" s="44"/>
      <c r="B2" s="34"/>
      <c r="C2" s="35"/>
      <c r="E2" s="28" t="s">
        <v>50</v>
      </c>
      <c r="G2" s="43"/>
      <c r="H2" s="43"/>
      <c r="I2" s="43"/>
      <c r="J2" s="43"/>
      <c r="K2" s="43"/>
    </row>
    <row r="3" spans="1:11" x14ac:dyDescent="0.25">
      <c r="B3" s="36"/>
      <c r="C3" s="37"/>
      <c r="G3" s="58" t="s">
        <v>47</v>
      </c>
      <c r="H3" s="58"/>
      <c r="I3" s="58"/>
      <c r="J3" s="58"/>
    </row>
    <row r="4" spans="1:11" x14ac:dyDescent="0.25">
      <c r="B4" s="36"/>
      <c r="C4" s="37"/>
      <c r="G4" s="62" t="str">
        <f>$I$1&amp;" months:"</f>
        <v>6 months:</v>
      </c>
      <c r="H4" s="62"/>
      <c r="I4" s="62"/>
      <c r="J4" s="62"/>
    </row>
    <row r="5" spans="1:11" ht="12.5" customHeight="1" x14ac:dyDescent="0.25">
      <c r="B5" s="36"/>
      <c r="C5" s="37"/>
      <c r="E5" s="25" t="str">
        <f>$I$1 &amp;" month total:"</f>
        <v>6 month total:</v>
      </c>
      <c r="G5" s="63">
        <f ca="1">TODAY()-ROUNDDOWN(($I$1/12*365),0)</f>
        <v>45281</v>
      </c>
      <c r="H5" s="63"/>
      <c r="I5" s="63"/>
      <c r="J5" s="63"/>
    </row>
    <row r="6" spans="1:11" x14ac:dyDescent="0.25">
      <c r="B6" s="36"/>
      <c r="C6" s="37"/>
      <c r="E6" s="48">
        <f>SUM(C2:C200)</f>
        <v>0</v>
      </c>
    </row>
    <row r="7" spans="1:11" ht="12.5" customHeight="1" x14ac:dyDescent="0.25">
      <c r="B7" s="36"/>
      <c r="C7" s="37"/>
      <c r="G7" s="65" t="s">
        <v>48</v>
      </c>
      <c r="H7" s="42"/>
      <c r="I7" s="52"/>
      <c r="J7" s="52"/>
    </row>
    <row r="8" spans="1:11" x14ac:dyDescent="0.25">
      <c r="B8" s="36"/>
      <c r="C8" s="37"/>
      <c r="E8" s="28" t="str">
        <f>IF(E5="12 Month Total:","","Annualized:")</f>
        <v>Annualized:</v>
      </c>
      <c r="F8" s="37"/>
      <c r="G8" s="64"/>
      <c r="H8" s="64" t="str">
        <f>$I$1&amp;" months"</f>
        <v>6 months</v>
      </c>
      <c r="I8" s="64"/>
      <c r="J8" s="64"/>
    </row>
    <row r="9" spans="1:11" x14ac:dyDescent="0.25">
      <c r="B9" s="36"/>
      <c r="C9" s="37"/>
      <c r="E9" s="37">
        <f>IF(E8&lt;&gt;"", E6/I1*12, "")</f>
        <v>0</v>
      </c>
      <c r="G9" s="53">
        <v>1</v>
      </c>
      <c r="H9" s="38">
        <v>12</v>
      </c>
      <c r="I9" s="39" t="s">
        <v>46</v>
      </c>
      <c r="J9" s="41">
        <f>IF(H9&lt;$I$1,H9+(12-$I$1+1),H9-($I$1-1))</f>
        <v>7</v>
      </c>
    </row>
    <row r="10" spans="1:11" x14ac:dyDescent="0.25">
      <c r="B10" s="36"/>
      <c r="C10" s="37"/>
      <c r="G10" s="53">
        <v>2</v>
      </c>
      <c r="H10" s="38">
        <v>1</v>
      </c>
      <c r="I10" s="39" t="s">
        <v>46</v>
      </c>
      <c r="J10" s="41">
        <f>IF(H10&lt;$I$1,H10+(12-$I$1+1),H10-($I$1-1))</f>
        <v>8</v>
      </c>
    </row>
    <row r="11" spans="1:11" x14ac:dyDescent="0.25">
      <c r="B11" s="36"/>
      <c r="C11" s="37"/>
      <c r="G11" s="53">
        <v>3</v>
      </c>
      <c r="H11" s="38">
        <v>2</v>
      </c>
      <c r="I11" s="39" t="s">
        <v>46</v>
      </c>
      <c r="J11" s="41">
        <f t="shared" ref="J11:J20" si="0">IF(H11&lt;$I$1,H11+(12-$I$1+1),H11-($I$1-1))</f>
        <v>9</v>
      </c>
    </row>
    <row r="12" spans="1:11" x14ac:dyDescent="0.25">
      <c r="B12" s="36"/>
      <c r="C12" s="37"/>
      <c r="G12" s="53">
        <v>4</v>
      </c>
      <c r="H12" s="38">
        <v>3</v>
      </c>
      <c r="I12" s="39" t="s">
        <v>46</v>
      </c>
      <c r="J12" s="41">
        <f t="shared" si="0"/>
        <v>10</v>
      </c>
    </row>
    <row r="13" spans="1:11" x14ac:dyDescent="0.25">
      <c r="B13" s="36"/>
      <c r="C13" s="37"/>
      <c r="G13" s="53">
        <v>5</v>
      </c>
      <c r="H13" s="38">
        <v>4</v>
      </c>
      <c r="I13" s="39" t="s">
        <v>46</v>
      </c>
      <c r="J13" s="41">
        <f t="shared" si="0"/>
        <v>11</v>
      </c>
    </row>
    <row r="14" spans="1:11" x14ac:dyDescent="0.25">
      <c r="B14" s="36"/>
      <c r="C14" s="37"/>
      <c r="G14" s="53">
        <v>6</v>
      </c>
      <c r="H14" s="38">
        <v>5</v>
      </c>
      <c r="I14" s="39" t="s">
        <v>46</v>
      </c>
      <c r="J14" s="41">
        <f t="shared" si="0"/>
        <v>12</v>
      </c>
    </row>
    <row r="15" spans="1:11" x14ac:dyDescent="0.25">
      <c r="B15" s="36"/>
      <c r="C15" s="37"/>
      <c r="G15" s="53">
        <v>7</v>
      </c>
      <c r="H15" s="38">
        <v>6</v>
      </c>
      <c r="I15" s="39" t="s">
        <v>46</v>
      </c>
      <c r="J15" s="41">
        <f t="shared" si="0"/>
        <v>1</v>
      </c>
    </row>
    <row r="16" spans="1:11" x14ac:dyDescent="0.25">
      <c r="B16" s="36"/>
      <c r="C16" s="37"/>
      <c r="G16" s="53">
        <v>8</v>
      </c>
      <c r="H16" s="38">
        <v>7</v>
      </c>
      <c r="I16" s="39" t="s">
        <v>46</v>
      </c>
      <c r="J16" s="41">
        <f t="shared" si="0"/>
        <v>2</v>
      </c>
    </row>
    <row r="17" spans="2:10" x14ac:dyDescent="0.25">
      <c r="B17" s="36"/>
      <c r="C17" s="37"/>
      <c r="G17" s="53">
        <v>9</v>
      </c>
      <c r="H17" s="38">
        <v>8</v>
      </c>
      <c r="I17" s="39" t="s">
        <v>46</v>
      </c>
      <c r="J17" s="41">
        <f t="shared" si="0"/>
        <v>3</v>
      </c>
    </row>
    <row r="18" spans="2:10" x14ac:dyDescent="0.25">
      <c r="B18" s="36"/>
      <c r="C18" s="37"/>
      <c r="G18" s="53">
        <v>10</v>
      </c>
      <c r="H18" s="38">
        <v>9</v>
      </c>
      <c r="I18" s="39" t="s">
        <v>46</v>
      </c>
      <c r="J18" s="41">
        <f t="shared" si="0"/>
        <v>4</v>
      </c>
    </row>
    <row r="19" spans="2:10" x14ac:dyDescent="0.25">
      <c r="B19" s="36"/>
      <c r="C19" s="37"/>
      <c r="G19" s="53">
        <v>11</v>
      </c>
      <c r="H19" s="38">
        <v>10</v>
      </c>
      <c r="I19" s="39" t="s">
        <v>46</v>
      </c>
      <c r="J19" s="41">
        <f t="shared" si="0"/>
        <v>5</v>
      </c>
    </row>
    <row r="20" spans="2:10" x14ac:dyDescent="0.25">
      <c r="B20" s="36"/>
      <c r="C20" s="37"/>
      <c r="G20" s="53">
        <v>12</v>
      </c>
      <c r="H20" s="38">
        <v>11</v>
      </c>
      <c r="I20" s="39" t="s">
        <v>46</v>
      </c>
      <c r="J20" s="41">
        <f t="shared" si="0"/>
        <v>6</v>
      </c>
    </row>
    <row r="21" spans="2:10" ht="12.5" customHeight="1" x14ac:dyDescent="0.25">
      <c r="B21" s="36"/>
      <c r="C21" s="37"/>
      <c r="G21" s="38"/>
      <c r="H21" s="38"/>
      <c r="I21" s="40"/>
    </row>
    <row r="22" spans="2:10" ht="12.5" customHeight="1" x14ac:dyDescent="0.25">
      <c r="B22" s="36"/>
      <c r="C22" s="37"/>
      <c r="G22" s="38"/>
      <c r="H22" s="38"/>
      <c r="I22" s="40"/>
    </row>
    <row r="23" spans="2:10" x14ac:dyDescent="0.25">
      <c r="B23" s="36"/>
      <c r="C23" s="37"/>
      <c r="G23" s="49"/>
      <c r="H23" s="50"/>
      <c r="I23" s="51"/>
      <c r="J23" s="51"/>
    </row>
    <row r="24" spans="2:10" x14ac:dyDescent="0.25">
      <c r="B24" s="36"/>
      <c r="C24" s="37"/>
      <c r="G24" s="49"/>
      <c r="H24" s="50"/>
      <c r="I24" s="51"/>
      <c r="J24" s="51"/>
    </row>
    <row r="25" spans="2:10" x14ac:dyDescent="0.25">
      <c r="B25" s="36"/>
      <c r="C25" s="37"/>
      <c r="G25" s="38"/>
      <c r="H25" s="38"/>
      <c r="I25" s="39"/>
      <c r="J25" s="41"/>
    </row>
    <row r="26" spans="2:10" x14ac:dyDescent="0.25">
      <c r="B26" s="36"/>
      <c r="C26" s="37"/>
      <c r="G26" s="38"/>
      <c r="H26" s="38"/>
      <c r="I26" s="39"/>
      <c r="J26" s="41"/>
    </row>
    <row r="27" spans="2:10" x14ac:dyDescent="0.25">
      <c r="B27" s="36"/>
      <c r="C27" s="37"/>
      <c r="G27" s="38"/>
      <c r="H27" s="38"/>
      <c r="I27" s="39"/>
      <c r="J27" s="41"/>
    </row>
    <row r="28" spans="2:10" x14ac:dyDescent="0.25">
      <c r="B28" s="36"/>
      <c r="C28" s="37"/>
      <c r="G28" s="38"/>
      <c r="H28" s="38"/>
      <c r="I28" s="39"/>
      <c r="J28" s="41"/>
    </row>
    <row r="29" spans="2:10" x14ac:dyDescent="0.25">
      <c r="B29" s="36"/>
      <c r="C29" s="37"/>
      <c r="G29" s="60" t="str">
        <f>IF(CSSumOfPasted&lt;&gt;0,IF(CSAnnualized &lt;&gt; 0, I1&amp;" month total: "&amp;TEXT(E6,"$0.00")&amp;". Annualized: "&amp; TEXT(CSAnnualized, "$0.00")&amp; ".", I1&amp;" month total: "&amp;TEXT(E6,"$0.00")), "")</f>
        <v/>
      </c>
      <c r="H29" s="60"/>
      <c r="I29" s="60"/>
      <c r="J29" s="60"/>
    </row>
    <row r="30" spans="2:10" x14ac:dyDescent="0.25">
      <c r="B30" s="36"/>
      <c r="C30" s="37"/>
      <c r="G30" s="60"/>
      <c r="H30" s="60"/>
      <c r="I30" s="60"/>
      <c r="J30" s="60"/>
    </row>
    <row r="31" spans="2:10" x14ac:dyDescent="0.25">
      <c r="B31" s="36"/>
      <c r="C31" s="37"/>
      <c r="G31" s="38"/>
      <c r="H31" s="38"/>
      <c r="I31" s="39"/>
      <c r="J31" s="41"/>
    </row>
    <row r="32" spans="2:10" x14ac:dyDescent="0.25">
      <c r="B32" s="36"/>
      <c r="C32" s="37"/>
      <c r="G32" s="38"/>
      <c r="H32" s="38"/>
      <c r="I32" s="39"/>
      <c r="J32" s="41"/>
    </row>
    <row r="33" spans="2:11" x14ac:dyDescent="0.25">
      <c r="B33" s="36"/>
      <c r="C33" s="37"/>
      <c r="G33" s="38"/>
      <c r="H33" s="38"/>
      <c r="I33" s="39"/>
      <c r="J33" s="41"/>
    </row>
    <row r="34" spans="2:11" x14ac:dyDescent="0.25">
      <c r="B34" s="36"/>
      <c r="C34" s="37"/>
      <c r="G34" s="38"/>
      <c r="H34" s="38"/>
      <c r="I34" s="39"/>
      <c r="J34" s="41"/>
    </row>
    <row r="35" spans="2:11" x14ac:dyDescent="0.25">
      <c r="B35" s="36"/>
      <c r="C35" s="37"/>
      <c r="G35" s="38"/>
      <c r="H35" s="38"/>
      <c r="I35" s="39"/>
      <c r="J35" s="41"/>
    </row>
    <row r="36" spans="2:11" x14ac:dyDescent="0.25">
      <c r="B36" s="36"/>
      <c r="C36" s="37"/>
      <c r="G36" s="38"/>
      <c r="H36" s="38"/>
      <c r="I36" s="39"/>
      <c r="J36" s="41"/>
    </row>
    <row r="37" spans="2:11" x14ac:dyDescent="0.25">
      <c r="B37" s="36"/>
      <c r="C37" s="37"/>
      <c r="I37" s="28"/>
    </row>
    <row r="38" spans="2:11" x14ac:dyDescent="0.25">
      <c r="B38" s="36"/>
      <c r="C38" s="37"/>
      <c r="I38" s="28"/>
    </row>
    <row r="39" spans="2:11" x14ac:dyDescent="0.25">
      <c r="B39" s="36"/>
      <c r="C39" s="37"/>
    </row>
    <row r="44" spans="2:11" x14ac:dyDescent="0.25">
      <c r="G44" s="43"/>
      <c r="H44" s="43"/>
      <c r="I44" s="43"/>
      <c r="J44" s="43"/>
      <c r="K44" s="43"/>
    </row>
    <row r="45" spans="2:11" x14ac:dyDescent="0.25">
      <c r="G45" s="43"/>
      <c r="H45" s="43"/>
      <c r="I45" s="43"/>
      <c r="J45" s="43"/>
      <c r="K45" s="43"/>
    </row>
  </sheetData>
  <mergeCells count="7">
    <mergeCell ref="G29:J30"/>
    <mergeCell ref="G1:H1"/>
    <mergeCell ref="G3:J3"/>
    <mergeCell ref="G4:J4"/>
    <mergeCell ref="G5:J5"/>
    <mergeCell ref="H8:J8"/>
    <mergeCell ref="G7:G8"/>
  </mergeCells>
  <conditionalFormatting sqref="E9">
    <cfRule type="cellIs" dxfId="0" priority="1" operator="notEqual">
      <formula>""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 moveWithCells="1" sizeWithCells="1">
                  <from>
                    <xdr:col>6</xdr:col>
                    <xdr:colOff>165100</xdr:colOff>
                    <xdr:row>21</xdr:row>
                    <xdr:rowOff>139700</xdr:rowOff>
                  </from>
                  <to>
                    <xdr:col>9</xdr:col>
                    <xdr:colOff>196850</xdr:colOff>
                    <xdr:row>23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ResetCS">
                <anchor moveWithCells="1" sizeWithCells="1">
                  <from>
                    <xdr:col>6</xdr:col>
                    <xdr:colOff>152400</xdr:colOff>
                    <xdr:row>24</xdr:row>
                    <xdr:rowOff>82550</xdr:rowOff>
                  </from>
                  <to>
                    <xdr:col>9</xdr:col>
                    <xdr:colOff>158750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43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15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20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16</v>
      </c>
      <c r="B7" s="59"/>
      <c r="C7" s="18">
        <v>42005</v>
      </c>
    </row>
    <row r="8" spans="1:3" x14ac:dyDescent="0.25">
      <c r="C8" s="17"/>
    </row>
    <row r="9" spans="1:3" x14ac:dyDescent="0.25">
      <c r="A9" s="59" t="s">
        <v>17</v>
      </c>
      <c r="B9" s="59"/>
      <c r="C9" s="19"/>
    </row>
    <row r="10" spans="1:3" x14ac:dyDescent="0.25">
      <c r="C10" s="17"/>
    </row>
    <row r="11" spans="1:3" x14ac:dyDescent="0.25">
      <c r="A11" s="59" t="s">
        <v>18</v>
      </c>
      <c r="B11" s="59"/>
      <c r="C11" s="20" t="str">
        <f>IF(C9&lt;&gt;0, SUM(C9/(ROUNDDOWN(DATEDIF(C5,C7,"d")/14+1,0))*26)*IF(D39 &lt;&gt;"",D39, 1)*IF(D36&lt;&gt;"", D36, 1), "")</f>
        <v/>
      </c>
    </row>
    <row r="12" spans="1:3" x14ac:dyDescent="0.25">
      <c r="C12" s="17"/>
    </row>
    <row r="18" spans="1:5" x14ac:dyDescent="0.25">
      <c r="A18" s="10" t="s">
        <v>12</v>
      </c>
      <c r="B18" s="10" t="s">
        <v>10</v>
      </c>
      <c r="C18" s="10" t="s">
        <v>3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IF(COUNTA(B19:C19),B19*26+IF($C$18="Once Monthly", C19*12, C19*24), "")</f>
        <v/>
      </c>
    </row>
    <row r="20" spans="1:5" x14ac:dyDescent="0.25">
      <c r="A20" s="10" t="s">
        <v>7</v>
      </c>
      <c r="B20" s="13"/>
      <c r="C20" s="13"/>
      <c r="D20" s="13" t="str">
        <f t="shared" ref="D20:D23" si="0">IF(COUNTA(B20:C20),B20*26+IF($C$18="Once Monthly", C20*12, C20*24), "")</f>
        <v/>
      </c>
    </row>
    <row r="21" spans="1:5" x14ac:dyDescent="0.25">
      <c r="A21" s="10" t="s">
        <v>8</v>
      </c>
      <c r="B21" s="13"/>
      <c r="C21" s="13"/>
      <c r="D21" s="13" t="str">
        <f t="shared" si="0"/>
        <v/>
      </c>
    </row>
    <row r="22" spans="1:5" x14ac:dyDescent="0.25">
      <c r="A22" s="10" t="s">
        <v>9</v>
      </c>
      <c r="B22" s="13"/>
      <c r="C22" s="13"/>
      <c r="D22" s="13" t="str">
        <f t="shared" si="0"/>
        <v/>
      </c>
    </row>
    <row r="23" spans="1:5" x14ac:dyDescent="0.25">
      <c r="A23" s="10" t="s">
        <v>23</v>
      </c>
      <c r="B23" s="13"/>
      <c r="C23" s="13"/>
      <c r="D23" s="13" t="str">
        <f t="shared" si="0"/>
        <v/>
      </c>
    </row>
    <row r="25" spans="1:5" ht="13" x14ac:dyDescent="0.3">
      <c r="A25" s="57" t="str">
        <f>IF(A3&lt;&gt;"Name - Employer", _xlfn.TEXTJOIN(" ",TRUE,A3&amp;": YTD from "&amp;TEXT(C5,"m/d/yy")&amp;" to "&amp;TEXT(C7,"m/d/yy")&amp;": $"&amp;C9&amp;"; annual @ "&amp;TEXT(C11,"0.00"),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</sheetData>
  <mergeCells count="10">
    <mergeCell ref="B41:D41"/>
    <mergeCell ref="B43:D43"/>
    <mergeCell ref="A26:E26"/>
    <mergeCell ref="A25:E25"/>
    <mergeCell ref="A1:C1"/>
    <mergeCell ref="A3:C3"/>
    <mergeCell ref="A7:B7"/>
    <mergeCell ref="A9:B9"/>
    <mergeCell ref="A11:B11"/>
    <mergeCell ref="A5:B5"/>
  </mergeCells>
  <dataValidations count="1">
    <dataValidation type="list" allowBlank="1" showInputMessage="1" showErrorMessage="1" sqref="C18" xr:uid="{0A111D23-7EA8-4833-947C-D8A7BD7421CC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1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2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BFBE-9670-42F5-98BF-07680ADB408A}">
  <sheetPr codeName="Sheet9"/>
  <dimension ref="A1:E43"/>
  <sheetViews>
    <sheetView zoomScaleNormal="100" workbookViewId="0">
      <selection activeCell="A3" sqref="A3:C3"/>
    </sheetView>
  </sheetViews>
  <sheetFormatPr defaultRowHeight="12.5" x14ac:dyDescent="0.25"/>
  <cols>
    <col min="1" max="1" width="16" customWidth="1"/>
    <col min="2" max="2" width="15.81640625" bestFit="1" customWidth="1"/>
    <col min="3" max="3" width="18.08984375" customWidth="1"/>
    <col min="4" max="4" width="15.54296875" customWidth="1"/>
    <col min="5" max="5" width="12.26953125" customWidth="1"/>
  </cols>
  <sheetData>
    <row r="1" spans="1:3" x14ac:dyDescent="0.25">
      <c r="A1" s="58" t="s">
        <v>19</v>
      </c>
      <c r="B1" s="58"/>
      <c r="C1" s="58"/>
    </row>
    <row r="2" spans="1:3" x14ac:dyDescent="0.25">
      <c r="C2" s="17"/>
    </row>
    <row r="3" spans="1:3" x14ac:dyDescent="0.25">
      <c r="A3" s="58" t="s">
        <v>21</v>
      </c>
      <c r="B3" s="58"/>
      <c r="C3" s="58"/>
    </row>
    <row r="4" spans="1:3" x14ac:dyDescent="0.25">
      <c r="C4" s="17"/>
    </row>
    <row r="5" spans="1:3" x14ac:dyDescent="0.25">
      <c r="A5" s="59" t="s">
        <v>20</v>
      </c>
      <c r="B5" s="59"/>
      <c r="C5" s="18">
        <v>42005</v>
      </c>
    </row>
    <row r="6" spans="1:3" x14ac:dyDescent="0.25">
      <c r="C6" s="17"/>
    </row>
    <row r="7" spans="1:3" x14ac:dyDescent="0.25">
      <c r="A7" s="59" t="s">
        <v>16</v>
      </c>
      <c r="B7" s="59"/>
      <c r="C7" s="18">
        <v>42005</v>
      </c>
    </row>
    <row r="8" spans="1:3" x14ac:dyDescent="0.25">
      <c r="C8" s="17"/>
    </row>
    <row r="9" spans="1:3" x14ac:dyDescent="0.25">
      <c r="A9" s="59" t="s">
        <v>17</v>
      </c>
      <c r="B9" s="59"/>
      <c r="C9" s="19"/>
    </row>
    <row r="10" spans="1:3" x14ac:dyDescent="0.25">
      <c r="C10" s="17"/>
    </row>
    <row r="11" spans="1:3" x14ac:dyDescent="0.25">
      <c r="A11" s="59" t="s">
        <v>18</v>
      </c>
      <c r="B11" s="59"/>
      <c r="C11" s="20" t="str">
        <f>IF(C9&lt;&gt;0, SUM(C9/(ROUNDDOWN(DATEDIF(C5,C7,"d")/7+1,0))*52)*IF(D39 &lt;&gt;"",D39, 1)*IF(D36&lt;&gt;"", D36, 1), "")</f>
        <v/>
      </c>
    </row>
    <row r="12" spans="1:3" x14ac:dyDescent="0.25">
      <c r="C12" s="17"/>
    </row>
    <row r="18" spans="1:5" x14ac:dyDescent="0.25">
      <c r="A18" s="10" t="s">
        <v>12</v>
      </c>
      <c r="B18" s="10" t="s">
        <v>10</v>
      </c>
      <c r="C18" s="10" t="s">
        <v>11</v>
      </c>
      <c r="D18" s="10" t="s">
        <v>22</v>
      </c>
    </row>
    <row r="19" spans="1:5" x14ac:dyDescent="0.25">
      <c r="A19" s="11" t="s">
        <v>6</v>
      </c>
      <c r="B19" s="13"/>
      <c r="C19" s="13"/>
      <c r="D19" s="13" t="str">
        <f>IF(COUNTA(B19:C19),B19*52+C19*12, "")</f>
        <v/>
      </c>
    </row>
    <row r="20" spans="1:5" x14ac:dyDescent="0.25">
      <c r="A20" s="10" t="s">
        <v>7</v>
      </c>
      <c r="B20" s="13"/>
      <c r="C20" s="13"/>
      <c r="D20" s="13" t="str">
        <f>IF(COUNTA(B20:C20),B20*52+C20*12, "")</f>
        <v/>
      </c>
    </row>
    <row r="21" spans="1:5" x14ac:dyDescent="0.25">
      <c r="A21" s="10" t="s">
        <v>8</v>
      </c>
      <c r="B21" s="13"/>
      <c r="C21" s="13"/>
      <c r="D21" s="13" t="str">
        <f>IF(COUNTA(B21:C21),B21*52+C21*12, "")</f>
        <v/>
      </c>
    </row>
    <row r="22" spans="1:5" x14ac:dyDescent="0.25">
      <c r="A22" s="10" t="s">
        <v>9</v>
      </c>
      <c r="B22" s="13"/>
      <c r="C22" s="13"/>
      <c r="D22" s="13" t="str">
        <f>IF(COUNTA(B22:C22),B22*52+C22*12, "")</f>
        <v/>
      </c>
    </row>
    <row r="23" spans="1:5" x14ac:dyDescent="0.25">
      <c r="A23" s="10" t="s">
        <v>23</v>
      </c>
      <c r="B23" s="13"/>
      <c r="C23" s="13"/>
      <c r="D23" s="13" t="str">
        <f>IF(COUNTA(B23:C23),B23*52+C23*12, "")</f>
        <v/>
      </c>
    </row>
    <row r="25" spans="1:5" ht="13" x14ac:dyDescent="0.3">
      <c r="A25" s="57" t="str">
        <f>IF(A3&lt;&gt;"Name - Employer", _xlfn.TEXTJOIN(" ",TRUE,A3&amp;": YTD from "&amp;TEXT(C5,"m/d/yy")&amp;" to "&amp;TEXT(C7,"m/d/yy")&amp;": $"&amp;C9&amp;"; annual @ "&amp;TEXT(C11,"0.00"), B41, B43), "")</f>
        <v/>
      </c>
      <c r="B25" s="57"/>
      <c r="C25" s="57"/>
      <c r="D25" s="57"/>
      <c r="E25" s="57"/>
    </row>
    <row r="26" spans="1:5" ht="13" x14ac:dyDescent="0.3">
      <c r="A26" s="57" t="str">
        <f>(IF(B19, "Medical: BW $" &amp; TEXT(B19,"0.00") &amp; ", ", "") &amp; IF(C19, "Medical: MO $" &amp; TEXT(C19,"0.00") &amp; ", ", "") &amp; IF(B20, "Dental: BW $" &amp; TEXT(B20,"0.00") &amp; ", ", "") &amp; IF(C20, "Dental: MO $" &amp; TEXT(C20,"0.00") &amp; ", ", "") &amp; IF(B21, "Vision: BW $" &amp; TEXT(B21,"0.00") &amp; ", ", "") &amp; IF(C21, "Vision: MO $" &amp; TEXT(C21,"0.00") &amp; ", ", "") &amp; IF(B22, "CS Paid: BW $" &amp; TEXT(B22,"0.00") &amp; ", ", "") &amp; IF(C22, "CS Paid: MO $" &amp; TEXT(C22,"0.00") &amp; ", ", "") &amp; IF(B23, "SS Paid: BW $" &amp; TEXT(B23,"0.00") &amp; ", ", "") &amp; IF(C23, "SS Paid: MO $" &amp; TEXT(C23,"0.00") &amp; ", ", "") &amp; IF(SUM(D19:D23) &gt; 0, "annual @ " &amp; TEXT(SUM(D19:D23),"0.00"), ""))</f>
        <v/>
      </c>
      <c r="B26" s="57"/>
      <c r="C26" s="57"/>
      <c r="D26" s="57"/>
      <c r="E26" s="57"/>
    </row>
    <row r="35" spans="1:4" x14ac:dyDescent="0.25">
      <c r="A35" t="s">
        <v>31</v>
      </c>
      <c r="B35" s="25" t="s">
        <v>24</v>
      </c>
      <c r="C35" s="25" t="s">
        <v>25</v>
      </c>
      <c r="D35" s="25" t="s">
        <v>28</v>
      </c>
    </row>
    <row r="36" spans="1:4" x14ac:dyDescent="0.25">
      <c r="A36" t="s">
        <v>29</v>
      </c>
      <c r="D36" s="26" t="str">
        <f>IF(COUNTA(B36),B36/52,IF(COUNTA(C36),C36/12,""))</f>
        <v/>
      </c>
    </row>
    <row r="38" spans="1:4" x14ac:dyDescent="0.25">
      <c r="A38" t="s">
        <v>32</v>
      </c>
      <c r="B38" s="25" t="s">
        <v>26</v>
      </c>
      <c r="C38" s="25" t="s">
        <v>27</v>
      </c>
      <c r="D38" s="25" t="s">
        <v>28</v>
      </c>
    </row>
    <row r="39" spans="1:4" x14ac:dyDescent="0.25">
      <c r="A39" t="s">
        <v>29</v>
      </c>
      <c r="B39" s="24"/>
      <c r="C39" s="24"/>
      <c r="D39" s="26" t="str">
        <f>IF(COUNTA(B39, C39)=2, (1-((DATEDIF(B39,C39,"d")+1)/365)), "")</f>
        <v/>
      </c>
    </row>
    <row r="41" spans="1:4" x14ac:dyDescent="0.25">
      <c r="A41" t="s">
        <v>33</v>
      </c>
      <c r="B41" s="54" t="str">
        <f>IF(D36&lt;&gt;"",IF(COUNTA(B36),"(contract: "&amp; B36 &amp;"/52 weeks)","(contract: "&amp;C36&amp;"/12 months)"),"")</f>
        <v/>
      </c>
      <c r="C41" s="54"/>
      <c r="D41" s="54"/>
    </row>
    <row r="43" spans="1:4" x14ac:dyDescent="0.25">
      <c r="A43" t="s">
        <v>35</v>
      </c>
      <c r="B43" s="54" t="str">
        <f>IF(D39&lt;&gt;"","(Leave: "&amp;(DATEDIF(B39,C39,"d")+1)&amp;" days)","")</f>
        <v/>
      </c>
      <c r="C43" s="54"/>
      <c r="D43" s="54"/>
    </row>
  </sheetData>
  <mergeCells count="10">
    <mergeCell ref="A25:E25"/>
    <mergeCell ref="A26:E26"/>
    <mergeCell ref="B41:D41"/>
    <mergeCell ref="B43:D43"/>
    <mergeCell ref="A1:C1"/>
    <mergeCell ref="A3:C3"/>
    <mergeCell ref="A5:B5"/>
    <mergeCell ref="A7:B7"/>
    <mergeCell ref="A9:B9"/>
    <mergeCell ref="A11:B11"/>
  </mergeCells>
  <dataValidations count="1">
    <dataValidation type="list" allowBlank="1" showInputMessage="1" showErrorMessage="1" sqref="C18" xr:uid="{1674253F-831A-45A6-871C-DB9BF601BBB8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learAll">
                <anchor moveWithCells="1" sizeWithCells="1">
                  <from>
                    <xdr:col>1</xdr:col>
                    <xdr:colOff>520700</xdr:colOff>
                    <xdr:row>30</xdr:row>
                    <xdr:rowOff>127000</xdr:rowOff>
                  </from>
                  <to>
                    <xdr:col>2</xdr:col>
                    <xdr:colOff>603250</xdr:colOff>
                    <xdr:row>32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Person1">
                <anchor moveWithCells="1" sizeWithCells="1">
                  <from>
                    <xdr:col>0</xdr:col>
                    <xdr:colOff>57150</xdr:colOff>
                    <xdr:row>28</xdr:row>
                    <xdr:rowOff>25400</xdr:rowOff>
                  </from>
                  <to>
                    <xdr:col>0</xdr:col>
                    <xdr:colOff>1060450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CopyIncome">
                <anchor moveWithCells="1" sizeWithCells="1">
                  <from>
                    <xdr:col>1</xdr:col>
                    <xdr:colOff>1092200</xdr:colOff>
                    <xdr:row>28</xdr:row>
                    <xdr:rowOff>19050</xdr:rowOff>
                  </from>
                  <to>
                    <xdr:col>2</xdr:col>
                    <xdr:colOff>1022350</xdr:colOff>
                    <xdr:row>30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CopyExpense">
                <anchor moveWithCells="1">
                  <from>
                    <xdr:col>0</xdr:col>
                    <xdr:colOff>387350</xdr:colOff>
                    <xdr:row>30</xdr:row>
                    <xdr:rowOff>139700</xdr:rowOff>
                  </from>
                  <to>
                    <xdr:col>1</xdr:col>
                    <xdr:colOff>400050</xdr:colOff>
                    <xdr:row>32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BW</vt:lpstr>
      <vt:lpstr>SM</vt:lpstr>
      <vt:lpstr>WK</vt:lpstr>
      <vt:lpstr>YTD BW</vt:lpstr>
      <vt:lpstr>YTD WK</vt:lpstr>
      <vt:lpstr>UI</vt:lpstr>
      <vt:lpstr>CS</vt:lpstr>
      <vt:lpstr>YTD BW Rng</vt:lpstr>
      <vt:lpstr>YTD WK Rng</vt:lpstr>
      <vt:lpstr>BWExpenses</vt:lpstr>
      <vt:lpstr>BWPerson1</vt:lpstr>
      <vt:lpstr>BWPerson2</vt:lpstr>
      <vt:lpstr>ChildSupportAnnualized</vt:lpstr>
      <vt:lpstr>CSAnnualized</vt:lpstr>
      <vt:lpstr>CSIncomePeriod</vt:lpstr>
      <vt:lpstr>CSSumOfPasted</vt:lpstr>
      <vt:lpstr>BW!Print_Area</vt:lpstr>
      <vt:lpstr>CS!Print_Area</vt:lpstr>
      <vt:lpstr>SM!Print_Area</vt:lpstr>
      <vt:lpstr>WK!Print_Area</vt:lpstr>
      <vt:lpstr>'YTD BW'!Print_Area</vt:lpstr>
      <vt:lpstr>'YTD BW Rng'!Print_Area</vt:lpstr>
      <vt:lpstr>'YTD WK'!Print_Area</vt:lpstr>
      <vt:lpstr>'YTD WK Rng'!Print_Area</vt:lpstr>
      <vt:lpstr>SMExpenses</vt:lpstr>
      <vt:lpstr>SMPerson1</vt:lpstr>
      <vt:lpstr>SMPerson2</vt:lpstr>
      <vt:lpstr>SumOfPasted</vt:lpstr>
      <vt:lpstr>UIPerson1</vt:lpstr>
      <vt:lpstr>UIPerson2</vt:lpstr>
      <vt:lpstr>WKExpenses</vt:lpstr>
      <vt:lpstr>WKPerson1</vt:lpstr>
      <vt:lpstr>WKPerson2</vt:lpstr>
      <vt:lpstr>YTDBWExpenses</vt:lpstr>
      <vt:lpstr>YTDBWPerson1</vt:lpstr>
      <vt:lpstr>YTDBWRangeExpenses</vt:lpstr>
      <vt:lpstr>YTDBWRangePerson1</vt:lpstr>
      <vt:lpstr>YTDPerson1</vt:lpstr>
      <vt:lpstr>YTDWKExpenses</vt:lpstr>
      <vt:lpstr>YTDWKPerson1</vt:lpstr>
      <vt:lpstr>YTDWKRangeExpenses</vt:lpstr>
      <vt:lpstr>YTDWKRangePerson1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McCormick, Jonathan</dc:creator>
  <cp:lastModifiedBy>Jonathan McCormick</cp:lastModifiedBy>
  <cp:lastPrinted>2024-05-09T13:44:16Z</cp:lastPrinted>
  <dcterms:created xsi:type="dcterms:W3CDTF">2024-01-30T20:38:11Z</dcterms:created>
  <dcterms:modified xsi:type="dcterms:W3CDTF">2024-06-20T19:04:33Z</dcterms:modified>
</cp:coreProperties>
</file>