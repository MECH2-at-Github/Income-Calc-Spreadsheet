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F5C7475A-4870-4D9F-B70C-99FBE643C0AB}" xr6:coauthVersionLast="47" xr6:coauthVersionMax="47" xr10:uidLastSave="{00000000-0000-0000-0000-000000000000}"/>
  <bookViews>
    <workbookView xWindow="29490" yWindow="4780" windowWidth="8840" windowHeight="15850" tabRatio="943" xr2:uid="{00000000-000D-0000-FFFF-FFFF00000000}"/>
  </bookViews>
  <sheets>
    <sheet name="BW" sheetId="1" r:id="rId1"/>
    <sheet name="SM" sheetId="2" r:id="rId2"/>
    <sheet name="WK" sheetId="3" r:id="rId3"/>
    <sheet name="CS" sheetId="8" r:id="rId4"/>
    <sheet name="UI" sheetId="7" r:id="rId5"/>
    <sheet name="YTD BW" sheetId="4" r:id="rId6"/>
    <sheet name="YTD WK" sheetId="5" r:id="rId7"/>
    <sheet name="YTD BW Rng" sheetId="6" r:id="rId8"/>
    <sheet name="YTD WK Rng" sheetId="9" r:id="rId9"/>
  </sheets>
  <functionGroups builtInGroupCount="19"/>
  <definedNames>
    <definedName name="_xleta.DATEDIF" hidden="1" xlm="1">#NAME?</definedName>
    <definedName name="BWExpenses">BW!$A$27</definedName>
    <definedName name="BWPerson1">BW!$A$25</definedName>
    <definedName name="BWPerson2">BW!$A$26</definedName>
    <definedName name="ChildSupportAnnualized">CS!$G$29</definedName>
    <definedName name="CSAnnualized">CS!$E$9</definedName>
    <definedName name="CSIncomePeriod">CS!$E$5</definedName>
    <definedName name="CSSumOfPasted">CS!$E$6</definedName>
    <definedName name="_xlnm.Print_Area" localSheetId="0">BW!$A$1:$G$27</definedName>
    <definedName name="_xlnm.Print_Area" localSheetId="3">CS!$A$1:$E$99</definedName>
    <definedName name="_xlnm.Print_Area" localSheetId="1">SM!$A$1:$G$27</definedName>
    <definedName name="_xlnm.Print_Area" localSheetId="2">WK!$A$1:$G$27</definedName>
    <definedName name="_xlnm.Print_Area" localSheetId="5">'YTD BW'!$A$1:$E$26</definedName>
    <definedName name="_xlnm.Print_Area" localSheetId="7">'YTD BW Rng'!$A$1:$E$26</definedName>
    <definedName name="_xlnm.Print_Area" localSheetId="6">'YTD WK'!$A$1:$E$26</definedName>
    <definedName name="_xlnm.Print_Area" localSheetId="8">'YTD WK Rng'!$A$1:$E$26</definedName>
    <definedName name="SMExpenses">SM!$A$27</definedName>
    <definedName name="SMPerson1">SM!$A$25</definedName>
    <definedName name="SMPerson2">SM!$A$26</definedName>
    <definedName name="SumOfPasted">CS!$E$6</definedName>
    <definedName name="UIPerson1">UI!$A$25</definedName>
    <definedName name="UIPerson2">UI!$A$26</definedName>
    <definedName name="WKExpenses">WK!$A$27</definedName>
    <definedName name="WKPerson1">WK!$A$25</definedName>
    <definedName name="WKPerson2">WK!$A$26</definedName>
    <definedName name="YTDBWExpenses">'YTD BW'!$A$26</definedName>
    <definedName name="YTDBWPerson1">'YTD BW'!$A$25</definedName>
    <definedName name="YTDBWRangeExpenses">'YTD BW Rng'!$A$26</definedName>
    <definedName name="YTDBWRangePerson1">'YTD BW Rng'!$A$25</definedName>
    <definedName name="YTDPerson1">'YTD BW'!$A$25</definedName>
    <definedName name="YTDWKExpenses">'YTD WK'!$A$26</definedName>
    <definedName name="YTDWKPerson1">'YTD WK'!$A$25</definedName>
    <definedName name="YTDWKRangeExpenses">'YTD WK Rng'!$A$26</definedName>
    <definedName name="YTDWKRangePerson1">'YTD WK Rng'!$A$25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2" l="1"/>
  <c r="B47" i="2" s="1"/>
  <c r="D40" i="2"/>
  <c r="B46" i="2" s="1"/>
  <c r="D41" i="1"/>
  <c r="B47" i="1" s="1"/>
  <c r="D40" i="1"/>
  <c r="B46" i="1" s="1"/>
  <c r="B44" i="3"/>
  <c r="B43" i="3"/>
  <c r="B47" i="3"/>
  <c r="B46" i="3"/>
  <c r="D37" i="3"/>
  <c r="D36" i="3"/>
  <c r="B44" i="2"/>
  <c r="B43" i="2"/>
  <c r="D37" i="2"/>
  <c r="D36" i="2"/>
  <c r="E15" i="2"/>
  <c r="B15" i="2"/>
  <c r="B44" i="1"/>
  <c r="B43" i="1"/>
  <c r="D37" i="1"/>
  <c r="D36" i="1"/>
  <c r="E23" i="1"/>
  <c r="E22" i="1"/>
  <c r="E21" i="1"/>
  <c r="E20" i="1"/>
  <c r="E19" i="1"/>
  <c r="A27" i="1" s="1"/>
  <c r="E13" i="1"/>
  <c r="E15" i="1" s="1"/>
  <c r="D13" i="1"/>
  <c r="D15" i="1" s="1"/>
  <c r="A26" i="1" s="1"/>
  <c r="B13" i="1"/>
  <c r="B15" i="1" s="1"/>
  <c r="A13" i="1"/>
  <c r="A15" i="1" s="1"/>
  <c r="A25" i="1" s="1"/>
  <c r="A25" i="9" l="1"/>
  <c r="A25" i="6"/>
  <c r="D15" i="6"/>
  <c r="E23" i="9"/>
  <c r="E22" i="9"/>
  <c r="E21" i="9"/>
  <c r="A26" i="9" s="1"/>
  <c r="E20" i="9"/>
  <c r="E19" i="9"/>
  <c r="E23" i="6"/>
  <c r="E22" i="6"/>
  <c r="E21" i="6"/>
  <c r="E20" i="6"/>
  <c r="E19" i="6"/>
  <c r="E23" i="5"/>
  <c r="E22" i="5"/>
  <c r="E21" i="5"/>
  <c r="E20" i="5"/>
  <c r="E19" i="5"/>
  <c r="E23" i="4"/>
  <c r="E22" i="4"/>
  <c r="E21" i="4"/>
  <c r="E20" i="4"/>
  <c r="E19" i="4"/>
  <c r="A26" i="4" s="1"/>
  <c r="E19" i="3"/>
  <c r="A27" i="3" s="1"/>
  <c r="E23" i="3"/>
  <c r="E22" i="3"/>
  <c r="E21" i="3"/>
  <c r="E20" i="3"/>
  <c r="E23" i="2"/>
  <c r="E22" i="2"/>
  <c r="A27" i="2" s="1"/>
  <c r="E21" i="2"/>
  <c r="E20" i="2"/>
  <c r="E19" i="2"/>
  <c r="A26" i="5" l="1"/>
  <c r="A26" i="6"/>
  <c r="D9" i="5"/>
  <c r="A27" i="4"/>
  <c r="D9" i="4"/>
  <c r="A25" i="4"/>
  <c r="D39" i="9"/>
  <c r="B43" i="9" s="1"/>
  <c r="D36" i="9"/>
  <c r="E6" i="8"/>
  <c r="E5" i="8"/>
  <c r="J11" i="8"/>
  <c r="J12" i="8"/>
  <c r="J13" i="8"/>
  <c r="J14" i="8"/>
  <c r="J15" i="8"/>
  <c r="J16" i="8"/>
  <c r="J17" i="8"/>
  <c r="J18" i="8"/>
  <c r="J19" i="8"/>
  <c r="J20" i="8"/>
  <c r="J9" i="8"/>
  <c r="J10" i="8"/>
  <c r="H8" i="8"/>
  <c r="G4" i="8"/>
  <c r="G5" i="8"/>
  <c r="B41" i="9" l="1"/>
  <c r="D15" i="9"/>
  <c r="E8" i="8"/>
  <c r="E9" i="8" s="1"/>
  <c r="G29" i="8" s="1"/>
  <c r="E10" i="7"/>
  <c r="E11" i="7" s="1"/>
  <c r="A26" i="7" s="1"/>
  <c r="B10" i="7"/>
  <c r="B11" i="7" s="1"/>
  <c r="A25" i="7" s="1"/>
  <c r="A25" i="5" l="1"/>
  <c r="D39" i="4" l="1"/>
  <c r="B43" i="4" s="1"/>
  <c r="D36" i="4"/>
  <c r="B41" i="4" s="1"/>
  <c r="D39" i="5"/>
  <c r="B43" i="5" s="1"/>
  <c r="D36" i="5"/>
  <c r="B41" i="5" s="1"/>
  <c r="D39" i="6"/>
  <c r="B43" i="6" s="1"/>
  <c r="D36" i="6"/>
  <c r="B41" i="6" s="1"/>
  <c r="A13" i="3" l="1"/>
  <c r="A15" i="3" s="1"/>
  <c r="D13" i="3"/>
  <c r="D15" i="3" s="1"/>
  <c r="B13" i="2"/>
  <c r="E13" i="2"/>
  <c r="E13" i="3"/>
  <c r="D13" i="2"/>
  <c r="D15" i="2" s="1"/>
  <c r="A13" i="2"/>
  <c r="A15" i="2" s="1"/>
  <c r="B13" i="3"/>
  <c r="A25" i="3" l="1"/>
  <c r="A25" i="2"/>
  <c r="A26" i="3"/>
  <c r="A2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7" authorId="0" shapeId="0" xr:uid="{A69BC2EA-599B-40DA-A4C1-699C85FDE755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E3357D46-9009-4EB4-992F-62A47F7C69E1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sharedStrings.xml><?xml version="1.0" encoding="utf-8"?>
<sst xmlns="http://schemas.openxmlformats.org/spreadsheetml/2006/main" count="268" uniqueCount="58">
  <si>
    <t>Bi-weekly</t>
  </si>
  <si>
    <t>Hours</t>
  </si>
  <si>
    <t>Date</t>
  </si>
  <si>
    <t>Person1 - Employer</t>
  </si>
  <si>
    <t>Average:</t>
  </si>
  <si>
    <t>Annualized:</t>
  </si>
  <si>
    <t>Weekly: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</si>
  <si>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</si>
  <si>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</si>
  <si>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</si>
  <si>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</si>
  <si>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</si>
  <si>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</si>
  <si>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</si>
  <si>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</si>
  <si>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</si>
  <si>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</si>
  <si>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</si>
  <si>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</si>
  <si>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</si>
  <si>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</si>
  <si>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</si>
  <si>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</si>
  <si>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</si>
  <si>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</si>
  <si>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</si>
  <si>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</si>
  <si>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</si>
  <si>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</si>
  <si>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</si>
  <si>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</si>
  <si>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Year-to-Date Income, Bi-weekly</t>
  </si>
  <si>
    <t>Name - Employer</t>
  </si>
  <si>
    <t>Last Paydate counted:</t>
  </si>
  <si>
    <t>Year-to-Date gross income:</t>
  </si>
  <si>
    <t>Annualized income:</t>
  </si>
  <si>
    <t>Year-to-Date Income, Weekly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</si>
  <si>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</si>
  <si>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</si>
  <si>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</si>
  <si>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</si>
  <si>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</si>
  <si>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</si>
  <si>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</si>
  <si>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</si>
  <si>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</si>
  <si>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</si>
  <si>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</si>
  <si>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</si>
  <si>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</si>
  <si>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</si>
  <si>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>First Paydate counted:</t>
  </si>
  <si>
    <t>Year-to-Date Income (within a range), Bi-weekly</t>
  </si>
  <si>
    <t>First Year-to-Date gross income:</t>
  </si>
  <si>
    <t>Amount earned on First Pay Date:</t>
  </si>
  <si>
    <t>Last Year-to-Date gross income:</t>
  </si>
  <si>
    <t xml:space="preserve"> % of Year</t>
  </si>
  <si>
    <t>Year-to-Date Income (within a range), Weekly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</si>
</sst>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6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81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4" xfId="0" applyNumberFormat="1" applyBorder="1" applyAlignment="1">
      <alignment horizontal="right"/>
    </xf>
    <xf numFmtId="0" fontId="0" fillId="0" borderId="4" xfId="0" applyBorder="1"/>
    <xf numFmtId="0" fontId="0" fillId="0" borderId="5" xfId="0" applyBorder="1"/>
    <xf numFmtId="164" fontId="0" fillId="0" borderId="4" xfId="0" applyNumberFormat="1" applyBorder="1"/>
    <xf numFmtId="2" fontId="0" fillId="0" borderId="2" xfId="0" applyNumberFormat="1" applyBorder="1"/>
    <xf numFmtId="2" fontId="0" fillId="0" borderId="3" xfId="0" applyNumberFormat="1" applyBorder="1"/>
    <xf numFmtId="0" fontId="0" fillId="0" borderId="0" xfId="0" applyAlignment="1">
      <alignment horizontal="left"/>
    </xf>
    <xf numFmtId="14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4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4" xfId="0" applyNumberFormat="1" applyBorder="1"/>
    <xf numFmtId="167" fontId="0" fillId="0" borderId="4" xfId="0" applyNumberFormat="1" applyBorder="1"/>
    <xf numFmtId="168" fontId="0" fillId="0" borderId="4" xfId="1" applyNumberFormat="1" applyFont="1" applyBorder="1"/>
    <xf numFmtId="168" fontId="0" fillId="0" borderId="4" xfId="0" applyNumberFormat="1" applyBorder="1"/>
    <xf numFmtId="0" fontId="4" fillId="0" borderId="0" xfId="0" applyFont="1" applyAlignment="1">
      <alignment horizontal="right"/>
    </xf>
    <xf numFmtId="165" fontId="0" fillId="0" borderId="0" xfId="0" applyNumberFormat="1" applyAlignment="1">
      <alignment horizontal="right"/>
    </xf>
    <xf numFmtId="0" fontId="4" fillId="0" borderId="0" xfId="0" applyFont="1"/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0" fillId="2" borderId="0" xfId="0" applyFill="1" applyAlignment="1">
      <alignment horizontal="left" vertical="top" wrapText="1" shrinkToFit="1"/>
    </xf>
    <xf numFmtId="0" fontId="0" fillId="0" borderId="0" xfId="0" applyAlignment="1">
      <alignment horizontal="left" vertical="top" wrapText="1" shrinkToFit="1"/>
    </xf>
    <xf numFmtId="165" fontId="0" fillId="0" borderId="4" xfId="0" applyNumberFormat="1" applyBorder="1" applyAlignment="1">
      <alignment horizontal="right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9" xfId="0" quotePrefix="1" applyNumberFormat="1" applyBorder="1" applyAlignment="1">
      <alignment horizontal="center"/>
    </xf>
    <xf numFmtId="14" fontId="0" fillId="0" borderId="4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12" xfId="0" applyNumberFormat="1" applyBorder="1" applyAlignment="1">
      <alignment horizontal="right"/>
    </xf>
    <xf numFmtId="14" fontId="0" fillId="0" borderId="13" xfId="0" applyNumberFormat="1" applyBorder="1" applyAlignment="1">
      <alignment horizontal="right"/>
    </xf>
    <xf numFmtId="14" fontId="0" fillId="0" borderId="9" xfId="0" applyNumberFormat="1" applyBorder="1"/>
    <xf numFmtId="14" fontId="0" fillId="0" borderId="9" xfId="0" applyNumberFormat="1" applyBorder="1" applyAlignment="1">
      <alignment horizontal="right"/>
    </xf>
    <xf numFmtId="14" fontId="0" fillId="0" borderId="8" xfId="0" applyNumberFormat="1" applyBorder="1"/>
    <xf numFmtId="14" fontId="0" fillId="0" borderId="14" xfId="0" applyNumberFormat="1" applyBorder="1"/>
    <xf numFmtId="0" fontId="0" fillId="0" borderId="0" xfId="0" applyAlignment="1">
      <alignment horizontal="center"/>
    </xf>
    <xf numFmtId="165" fontId="0" fillId="0" borderId="4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2" fontId="0" fillId="0" borderId="11" xfId="0" applyNumberFormat="1" applyBorder="1"/>
    <xf numFmtId="2" fontId="0" fillId="0" borderId="1" xfId="0" applyNumberFormat="1" applyBorder="1"/>
    <xf numFmtId="170" fontId="0" fillId="0" borderId="2" xfId="0" applyNumberFormat="1" applyBorder="1"/>
    <xf numFmtId="170" fontId="0" fillId="0" borderId="3" xfId="0" applyNumberFormat="1" applyBorder="1"/>
    <xf numFmtId="1" fontId="0" fillId="0" borderId="0" xfId="0" applyNumberFormat="1"/>
    <xf numFmtId="10" fontId="0" fillId="0" borderId="0" xfId="0" applyNumberFormat="1"/>
    <xf numFmtId="9" fontId="0" fillId="0" borderId="0" xfId="2" applyFont="1"/>
    <xf numFmtId="0" fontId="0" fillId="0" borderId="0" xfId="0"/>
    <xf numFmtId="0" fontId="0" fillId="0" borderId="6" xfId="0" applyBorder="1" applyAlignment="1">
      <alignment horizontal="center" shrinkToFit="1"/>
    </xf>
    <xf numFmtId="0" fontId="0" fillId="0" borderId="10" xfId="0" applyBorder="1" applyAlignment="1">
      <alignment horizontal="center" shrinkToFit="1"/>
    </xf>
    <xf numFmtId="0" fontId="0" fillId="0" borderId="7" xfId="0" applyBorder="1" applyAlignment="1">
      <alignment horizontal="center" shrinkToFit="1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0" xfId="0" applyAlignment="1">
      <alignment horizontal="center" vertical="top" shrinkToFit="1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70" fontId="0" fillId="0" borderId="0" xfId="0" applyNumberFormat="1" applyAlignment="1">
      <alignment horizontal="center"/>
    </xf>
    <xf numFmtId="0" fontId="3" fillId="0" borderId="8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29</xdr:row>
          <xdr:rowOff>76200</xdr:rowOff>
        </xdr:from>
        <xdr:to>
          <xdr:col>5</xdr:col>
          <xdr:colOff>228600</xdr:colOff>
          <xdr:row>31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203200</xdr:colOff>
          <xdr:row>30</xdr:row>
          <xdr:rowOff>19050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501650</xdr:colOff>
          <xdr:row>28</xdr:row>
          <xdr:rowOff>19050</xdr:rowOff>
        </xdr:from>
        <xdr:to>
          <xdr:col>3</xdr:col>
          <xdr:colOff>304800</xdr:colOff>
          <xdr:row>30</xdr:row>
          <xdr:rowOff>19050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203200</xdr:colOff>
          <xdr:row>33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31</xdr:row>
          <xdr:rowOff>0</xdr:rowOff>
        </xdr:from>
        <xdr:to>
          <xdr:col>3</xdr:col>
          <xdr:colOff>298450</xdr:colOff>
          <xdr:row>33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29</xdr:row>
          <xdr:rowOff>76200</xdr:rowOff>
        </xdr:from>
        <xdr:to>
          <xdr:col>5</xdr:col>
          <xdr:colOff>228600</xdr:colOff>
          <xdr:row>31</xdr:row>
          <xdr:rowOff>76200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203200</xdr:colOff>
          <xdr:row>30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501650</xdr:colOff>
          <xdr:row>28</xdr:row>
          <xdr:rowOff>19050</xdr:rowOff>
        </xdr:from>
        <xdr:to>
          <xdr:col>3</xdr:col>
          <xdr:colOff>304800</xdr:colOff>
          <xdr:row>30</xdr:row>
          <xdr:rowOff>19050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203200</xdr:colOff>
          <xdr:row>33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31</xdr:row>
          <xdr:rowOff>0</xdr:rowOff>
        </xdr:from>
        <xdr:to>
          <xdr:col>3</xdr:col>
          <xdr:colOff>298450</xdr:colOff>
          <xdr:row>33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29</xdr:row>
          <xdr:rowOff>76200</xdr:rowOff>
        </xdr:from>
        <xdr:to>
          <xdr:col>5</xdr:col>
          <xdr:colOff>228600</xdr:colOff>
          <xdr:row>31</xdr:row>
          <xdr:rowOff>76200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203200</xdr:colOff>
          <xdr:row>30</xdr:row>
          <xdr:rowOff>19050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501650</xdr:colOff>
          <xdr:row>28</xdr:row>
          <xdr:rowOff>19050</xdr:rowOff>
        </xdr:from>
        <xdr:to>
          <xdr:col>3</xdr:col>
          <xdr:colOff>304800</xdr:colOff>
          <xdr:row>30</xdr:row>
          <xdr:rowOff>19050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203200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31</xdr:row>
          <xdr:rowOff>0</xdr:rowOff>
        </xdr:from>
        <xdr:to>
          <xdr:col>3</xdr:col>
          <xdr:colOff>298450</xdr:colOff>
          <xdr:row>33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165100</xdr:colOff>
          <xdr:row>21</xdr:row>
          <xdr:rowOff>146050</xdr:rowOff>
        </xdr:from>
        <xdr:to>
          <xdr:col>9</xdr:col>
          <xdr:colOff>234950</xdr:colOff>
          <xdr:row>23</xdr:row>
          <xdr:rowOff>146050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152400</xdr:colOff>
          <xdr:row>24</xdr:row>
          <xdr:rowOff>88900</xdr:rowOff>
        </xdr:from>
        <xdr:to>
          <xdr:col>9</xdr:col>
          <xdr:colOff>222250</xdr:colOff>
          <xdr:row>26</xdr:row>
          <xdr:rowOff>88900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3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CS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679450</xdr:colOff>
          <xdr:row>29</xdr:row>
          <xdr:rowOff>69850</xdr:rowOff>
        </xdr:from>
        <xdr:to>
          <xdr:col>5</xdr:col>
          <xdr:colOff>342900</xdr:colOff>
          <xdr:row>31</xdr:row>
          <xdr:rowOff>69850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5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12700</xdr:rowOff>
        </xdr:from>
        <xdr:to>
          <xdr:col>1</xdr:col>
          <xdr:colOff>311150</xdr:colOff>
          <xdr:row>30</xdr:row>
          <xdr:rowOff>12700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5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152400</xdr:rowOff>
        </xdr:from>
        <xdr:to>
          <xdr:col>1</xdr:col>
          <xdr:colOff>311150</xdr:colOff>
          <xdr:row>32</xdr:row>
          <xdr:rowOff>152400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5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30</xdr:row>
          <xdr:rowOff>152400</xdr:rowOff>
        </xdr:from>
        <xdr:to>
          <xdr:col>3</xdr:col>
          <xdr:colOff>165100</xdr:colOff>
          <xdr:row>32</xdr:row>
          <xdr:rowOff>152400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5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679450</xdr:colOff>
          <xdr:row>29</xdr:row>
          <xdr:rowOff>76200</xdr:rowOff>
        </xdr:from>
        <xdr:to>
          <xdr:col>5</xdr:col>
          <xdr:colOff>342900</xdr:colOff>
          <xdr:row>31</xdr:row>
          <xdr:rowOff>76200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6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311150</xdr:colOff>
          <xdr:row>30</xdr:row>
          <xdr:rowOff>19050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6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311150</xdr:colOff>
          <xdr:row>33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6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31</xdr:row>
          <xdr:rowOff>0</xdr:rowOff>
        </xdr:from>
        <xdr:to>
          <xdr:col>3</xdr:col>
          <xdr:colOff>165100</xdr:colOff>
          <xdr:row>33</xdr:row>
          <xdr:rowOff>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29</xdr:row>
          <xdr:rowOff>76200</xdr:rowOff>
        </xdr:from>
        <xdr:to>
          <xdr:col>4</xdr:col>
          <xdr:colOff>584200</xdr:colOff>
          <xdr:row>31</xdr:row>
          <xdr:rowOff>76200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7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298450</xdr:colOff>
          <xdr:row>30</xdr:row>
          <xdr:rowOff>19050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7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298450</xdr:colOff>
          <xdr:row>33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7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31</xdr:row>
          <xdr:rowOff>0</xdr:rowOff>
        </xdr:from>
        <xdr:to>
          <xdr:col>2</xdr:col>
          <xdr:colOff>831850</xdr:colOff>
          <xdr:row>33</xdr:row>
          <xdr:rowOff>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7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29</xdr:row>
          <xdr:rowOff>76200</xdr:rowOff>
        </xdr:from>
        <xdr:to>
          <xdr:col>4</xdr:col>
          <xdr:colOff>584200</xdr:colOff>
          <xdr:row>31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8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28</xdr:row>
          <xdr:rowOff>19050</xdr:rowOff>
        </xdr:from>
        <xdr:to>
          <xdr:col>1</xdr:col>
          <xdr:colOff>298450</xdr:colOff>
          <xdr:row>30</xdr:row>
          <xdr:rowOff>19050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8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Person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31</xdr:row>
          <xdr:rowOff>0</xdr:rowOff>
        </xdr:from>
        <xdr:to>
          <xdr:col>1</xdr:col>
          <xdr:colOff>298450</xdr:colOff>
          <xdr:row>33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8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31</xdr:row>
          <xdr:rowOff>0</xdr:rowOff>
        </xdr:from>
        <xdr:to>
          <xdr:col>2</xdr:col>
          <xdr:colOff>831850</xdr:colOff>
          <xdr:row>33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8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7"/>
  <sheetViews>
    <sheetView tabSelected="1"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5.7265625" customWidth="1"/>
    <col min="2" max="2" width="10.453125" customWidth="1"/>
    <col min="3" max="3" width="10.1796875" style="16" customWidth="1"/>
    <col min="4" max="4" width="15.7265625" customWidth="1"/>
    <col min="5" max="5" width="10.453125" customWidth="1"/>
    <col min="6" max="6" width="10.1796875" style="16" customWidth="1"/>
    <col min="7" max="7" width="6.81640625" customWidth="1"/>
    <col min="8" max="8" width="11.54296875" customWidth="1"/>
    <col min="9" max="9" width="24.1796875" customWidth="1"/>
  </cols>
  <sheetData>
    <row r="1" spans="1:7" ht="12.5" customHeight="1" x14ac:dyDescent="0.25">
      <c r="A1" s="14" t="s">
        <v>0</v>
      </c>
      <c r="B1" s="14" t="s">
        <v>1</v>
      </c>
      <c r="C1" s="45" t="s">
        <v>2</v>
      </c>
      <c r="D1" s="14" t="s">
        <v>0</v>
      </c>
      <c r="E1" s="14" t="s">
        <v>1</v>
      </c>
      <c r="F1" s="45" t="s">
        <v>2</v>
      </c>
    </row>
    <row r="2" spans="1:7" ht="12.5" customHeight="1" x14ac:dyDescent="0.25">
      <c r="A2" s="66" t="s">
        <v>3</v>
      </c>
      <c r="B2" s="67"/>
      <c r="C2" s="68"/>
      <c r="D2" s="66"/>
      <c r="E2" s="67"/>
      <c r="F2" s="68"/>
    </row>
    <row r="3" spans="1:7" ht="12.5" customHeight="1" x14ac:dyDescent="0.25">
      <c r="A3" s="56"/>
      <c r="B3" s="7"/>
      <c r="C3" s="60"/>
      <c r="D3" s="56"/>
      <c r="E3" s="58"/>
      <c r="F3" s="60"/>
    </row>
    <row r="4" spans="1:7" ht="12.5" customHeight="1" x14ac:dyDescent="0.25">
      <c r="A4" s="57"/>
      <c r="B4" s="8"/>
      <c r="C4" s="61"/>
      <c r="D4" s="57"/>
      <c r="E4" s="59"/>
      <c r="F4" s="61"/>
    </row>
    <row r="5" spans="1:7" ht="12.5" customHeight="1" x14ac:dyDescent="0.25">
      <c r="A5" s="57"/>
      <c r="B5" s="8"/>
      <c r="C5" s="61"/>
      <c r="D5" s="57"/>
      <c r="E5" s="59"/>
      <c r="F5" s="61"/>
    </row>
    <row r="6" spans="1:7" ht="12.5" customHeight="1" x14ac:dyDescent="0.25">
      <c r="A6" s="57"/>
      <c r="B6" s="8"/>
      <c r="C6" s="61"/>
      <c r="D6" s="57"/>
      <c r="E6" s="59"/>
      <c r="F6" s="61"/>
    </row>
    <row r="7" spans="1:7" ht="12.5" customHeight="1" x14ac:dyDescent="0.25">
      <c r="A7" s="57"/>
      <c r="B7" s="8"/>
      <c r="C7" s="61"/>
      <c r="D7" s="57"/>
      <c r="E7" s="59"/>
      <c r="F7" s="61"/>
    </row>
    <row r="8" spans="1:7" ht="12.5" customHeight="1" x14ac:dyDescent="0.25">
      <c r="A8" s="57"/>
      <c r="B8" s="8"/>
      <c r="C8" s="61"/>
      <c r="D8" s="57"/>
      <c r="E8" s="59"/>
      <c r="F8" s="61"/>
    </row>
    <row r="9" spans="1:7" ht="12.5" customHeight="1" x14ac:dyDescent="0.25">
      <c r="A9" s="57"/>
      <c r="B9" s="8"/>
      <c r="C9" s="61"/>
      <c r="D9" s="57"/>
      <c r="E9" s="59"/>
      <c r="F9" s="61"/>
    </row>
    <row r="10" spans="1:7" ht="12.5" customHeight="1" x14ac:dyDescent="0.25">
      <c r="A10" s="57"/>
      <c r="B10" s="8"/>
      <c r="C10" s="61"/>
      <c r="D10" s="57"/>
      <c r="E10" s="59"/>
      <c r="F10" s="61"/>
    </row>
    <row r="11" spans="1:7" ht="12.5" customHeight="1" x14ac:dyDescent="0.25">
      <c r="A11" s="57"/>
      <c r="B11" s="8"/>
      <c r="C11" s="61"/>
      <c r="D11" s="57"/>
      <c r="E11" s="59"/>
      <c r="F11" s="61"/>
    </row>
    <row r="12" spans="1:7" ht="12.5" customHeight="1" x14ac:dyDescent="0.25">
      <c r="A12" s="3" t="s">
        <v>4</v>
      </c>
      <c r="B12" s="3" t="s">
        <v>4</v>
      </c>
      <c r="C12" s="48"/>
      <c r="D12" s="3" t="s">
        <v>4</v>
      </c>
      <c r="E12" s="3" t="s">
        <v>4</v>
      </c>
      <c r="F12" s="49"/>
      <c r="G12" s="1"/>
    </row>
    <row r="13" spans="1:7" ht="12.5" customHeight="1" x14ac:dyDescent="0.25">
      <c r="A13" s="55" t="str">
        <f>IF(AND(COUNTA(A3:A11), A2&lt;&gt;"Person1 - Employer"),AVERAGE(A3:A11), "")</f>
        <v/>
      </c>
      <c r="B13" s="6" t="str">
        <f>IF(COUNTA(B3:B11),AVERAGE(B3:B11), "")</f>
        <v/>
      </c>
      <c r="D13" s="55" t="str">
        <f>IF(AND(COUNTA(D3:D11), D2&lt;&gt;"Person1 - Employer"),AVERAGE(D3:D11), "")</f>
        <v/>
      </c>
      <c r="E13" s="6" t="str">
        <f>IF(COUNTA(E3:E11),AVERAGE(E3:E11), "")</f>
        <v/>
      </c>
      <c r="F13" s="50"/>
      <c r="G13" s="2"/>
    </row>
    <row r="14" spans="1:7" ht="12.5" customHeight="1" x14ac:dyDescent="0.25">
      <c r="A14" s="3" t="s">
        <v>5</v>
      </c>
      <c r="B14" s="3" t="s">
        <v>6</v>
      </c>
      <c r="C14" s="47"/>
      <c r="D14" s="3" t="s">
        <v>5</v>
      </c>
      <c r="E14" s="3" t="s">
        <v>6</v>
      </c>
      <c r="F14" s="51"/>
      <c r="G14" s="1"/>
    </row>
    <row r="15" spans="1:7" ht="12.5" customHeight="1" x14ac:dyDescent="0.25">
      <c r="A15" s="55" t="str">
        <f>IF(A13&lt;&gt;"", (ROUND(A13, 2)*26*IF(D40 &lt;&gt;"",D40, 1)*IF(D36&lt;&gt;"", D36, 1)), "")</f>
        <v/>
      </c>
      <c r="B15" s="6" t="str">
        <f>IF(B13&lt;&gt;"",B13/2, "")</f>
        <v/>
      </c>
      <c r="C15" s="52"/>
      <c r="D15" s="55" t="str">
        <f>IF(D13&lt;&gt;"", ROUND(D13, 2)*26*IF(D41 &lt;&gt;"",D41, 1)*IF(D37&lt;&gt;"", D37, 1), "")</f>
        <v/>
      </c>
      <c r="E15" s="6" t="str">
        <f>IF(E13&lt;&gt;"",E13/2, "")</f>
        <v/>
      </c>
      <c r="F15" s="53"/>
      <c r="G15" s="2"/>
    </row>
    <row r="18" spans="1:7" ht="12.5" customHeight="1" x14ac:dyDescent="0.25">
      <c r="A18" s="4" t="s">
        <v>7</v>
      </c>
      <c r="B18" s="4" t="s">
        <v>8</v>
      </c>
      <c r="C18" s="21" t="s">
        <v>9</v>
      </c>
      <c r="D18" s="4" t="s">
        <v>10</v>
      </c>
      <c r="E18" s="4" t="s">
        <v>11</v>
      </c>
    </row>
    <row r="19" spans="1:7" ht="12.5" customHeight="1" x14ac:dyDescent="0.25">
      <c r="A19" s="5" t="s">
        <v>12</v>
      </c>
      <c r="B19" s="55"/>
      <c r="C19" s="55"/>
      <c r="D19" s="55"/>
      <c r="E19" s="55" t="str">
        <f>IF(COUNTA(B19:D19),SUM(B19*26+C19*12+D19*24), "")</f>
        <v/>
      </c>
    </row>
    <row r="20" spans="1:7" ht="12.5" customHeight="1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ht="12.5" customHeight="1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ht="12.5" customHeight="1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ht="12.5" customHeight="1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2.5" customHeight="1" x14ac:dyDescent="0.3">
      <c r="A25" s="69" t="str">
        <f>IF(A$15&lt;&gt;"", _xlfn.TEXTJOIN(" ", TRUE, A$2&amp;": BW avg $"&amp;TEXT(A$13, "0.00")&amp;", "&amp;TEXT(B$15, "0.0")&amp;"hr/wk; annual @ "&amp;TEXT(A$15,"0.00"), B43, B46), "")</f>
        <v/>
      </c>
      <c r="B25" s="69"/>
      <c r="C25" s="69"/>
      <c r="D25" s="69"/>
      <c r="E25" s="69"/>
      <c r="F25" s="69"/>
      <c r="G25" s="69"/>
    </row>
    <row r="26" spans="1:7" ht="12.5" customHeight="1" x14ac:dyDescent="0.3">
      <c r="A26" s="69" t="str">
        <f>IF(D$15&lt;&gt;"", _xlfn.TEXTJOIN(" ", TRUE, D$2&amp;": BW avg $"&amp;TEXT(D$13, "0.00")&amp;", "&amp;TEXT(E$15, "0.0")&amp;"hr/wk; annual @ "&amp;TEXT(D$15,"0.00"), B44, B47), "")</f>
        <v/>
      </c>
      <c r="B26" s="69"/>
      <c r="C26" s="69"/>
      <c r="D26" s="69"/>
      <c r="E26" s="69"/>
      <c r="F26" s="69"/>
      <c r="G26" s="69"/>
    </row>
    <row r="27" spans="1:7" ht="12.5" customHeight="1" x14ac:dyDescent="0.3">
      <c r="A27" s="69" t="str">
        <f>(IF(B19, "Medical: BW $" &amp; TEXT(B19,"0.00") &amp; ", ", "") &amp; IF(C19, "Medical: MO $" &amp; TEXT(C19,"0.00") &amp; ", ", "") &amp; IF(D19, "Medical: SM $" &amp; TEXT(D19,"0.00") &amp; ", ", "") &amp; IF(B20, "Dental: BW $" &amp; TEXT(B20,"0.00") &amp; ", ", "") &amp; IF(C20, "Dental: MO $" &amp; TEXT(C20,"0.00") &amp; ", ", "") &amp; IF(D20, "Dental: SM $" &amp; TEXT(D20,"0.00") &amp; ", ", "") &amp; IF(B21, "Vision: BW $" &amp; TEXT(B21,"0.00") &amp; ", ", "") &amp; IF(C21, "Vision: MO $" &amp; TEXT(C21,"0.00") &amp; ", ", "") &amp; IF(D21, "Vision: SM $" &amp; TEXT(D21,"0.00") &amp; ", ", "") &amp; IF(B22, "CS Paid: BW $" &amp; TEXT(B22,"0.00") &amp; ", ", "") &amp; IF(C22, "CS Paid: MO $" &amp; TEXT(C22,"0.00") &amp; ", ", "") &amp; IF(D22, "CS Paid: SM $" &amp; TEXT(D22,"0.00") &amp; ", ", "") &amp; IF(B23, "SS Paid: BW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7" s="69"/>
      <c r="C27" s="69"/>
      <c r="D27" s="69"/>
      <c r="E27" s="69"/>
      <c r="F27" s="69"/>
      <c r="G27" s="69"/>
    </row>
    <row r="28" spans="1:7" ht="12.5" customHeight="1" x14ac:dyDescent="0.3">
      <c r="A28" s="69"/>
      <c r="B28" s="69"/>
      <c r="C28" s="69"/>
      <c r="D28" s="69"/>
      <c r="E28" s="69"/>
      <c r="F28" s="69"/>
      <c r="G28" s="69"/>
    </row>
    <row r="33" spans="1:6" ht="12.5" customHeight="1" x14ac:dyDescent="0.3">
      <c r="A33" s="15"/>
      <c r="B33" s="15"/>
      <c r="C33" s="46"/>
      <c r="D33" s="15"/>
      <c r="E33" s="15"/>
      <c r="F33" s="46"/>
    </row>
    <row r="35" spans="1:6" ht="12.5" customHeight="1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6" ht="12.5" customHeight="1" x14ac:dyDescent="0.25">
      <c r="A36" t="s">
        <v>21</v>
      </c>
      <c r="B36" s="62"/>
      <c r="C36" s="62"/>
      <c r="D36" t="str">
        <f>IF(COUNTA(B36),B36/52,IF(COUNTA(C36),C36/12,""))</f>
        <v/>
      </c>
      <c r="E36" s="18"/>
    </row>
    <row r="37" spans="1:6" ht="12.5" customHeight="1" x14ac:dyDescent="0.25">
      <c r="A37" t="s">
        <v>22</v>
      </c>
      <c r="B37" s="62"/>
      <c r="C37" s="62"/>
      <c r="D37" t="str">
        <f>IF(COUNTA(B37),B37/52,IF(COUNTA(C37),C37/12,""))</f>
        <v/>
      </c>
      <c r="E37" s="18"/>
    </row>
    <row r="39" spans="1:6" ht="12.5" customHeight="1" x14ac:dyDescent="0.25">
      <c r="A39" t="s">
        <v>23</v>
      </c>
      <c r="B39" s="17" t="s">
        <v>24</v>
      </c>
      <c r="C39" s="17" t="s">
        <v>25</v>
      </c>
      <c r="D39" s="17" t="s">
        <v>20</v>
      </c>
    </row>
    <row r="40" spans="1:6" ht="12.5" customHeight="1" x14ac:dyDescent="0.25">
      <c r="A40" t="s">
        <v>21</v>
      </c>
      <c r="B40" s="16"/>
      <c r="D40" s="63" t="str">
        <f>IF(COUNTA(B40, C40)=2, (1-((DATEDIF(B40,C40,"d")+1)/365)), "")</f>
        <v/>
      </c>
      <c r="E40" s="18"/>
    </row>
    <row r="41" spans="1:6" ht="12.5" customHeight="1" x14ac:dyDescent="0.25">
      <c r="A41" t="s">
        <v>22</v>
      </c>
      <c r="B41" s="16"/>
      <c r="D41" s="63" t="str">
        <f>IF(COUNTA(B40, C40)=2, (1-((DATEDIF(B40,C40,"d")+1)/365)), "")</f>
        <v/>
      </c>
      <c r="E41" s="18"/>
    </row>
    <row r="43" spans="1:6" ht="12.5" customHeight="1" x14ac:dyDescent="0.25">
      <c r="A43" t="s">
        <v>26</v>
      </c>
      <c r="B43" s="65" t="str">
        <f>IF(E36&lt;&gt;"",IF(COUNTA(B36),"(contract: "&amp; B36 &amp;"/52 weeks)","(contract: "&amp;C36&amp;"/12 months)"),"")</f>
        <v/>
      </c>
      <c r="C43" s="65"/>
      <c r="D43" s="65"/>
      <c r="E43" s="65"/>
    </row>
    <row r="44" spans="1:6" ht="12.5" customHeight="1" x14ac:dyDescent="0.25">
      <c r="A44" t="s">
        <v>27</v>
      </c>
      <c r="B44" s="65" t="str">
        <f>IF(E37&lt;&gt;"",IF(COUNTA(B37),"(contract: "&amp; B37 &amp;"/52 weeks)","(contract: "&amp;C37&amp;"/12 months)"),"")</f>
        <v/>
      </c>
      <c r="C44" s="65"/>
      <c r="D44" s="65"/>
      <c r="E44" s="65"/>
    </row>
    <row r="46" spans="1:6" ht="12.5" customHeight="1" x14ac:dyDescent="0.25">
      <c r="A46" t="s">
        <v>28</v>
      </c>
      <c r="B46" s="65" t="str">
        <f>IF(E40&lt;&gt;"","(Leave: "&amp;(DATEDIF(B40,D40,"d")+1)&amp;" days)","")</f>
        <v/>
      </c>
      <c r="C46" s="65"/>
      <c r="D46" s="65"/>
      <c r="E46" s="65"/>
    </row>
    <row r="47" spans="1:6" ht="12.5" customHeight="1" x14ac:dyDescent="0.25">
      <c r="A47" t="s">
        <v>29</v>
      </c>
      <c r="B47" s="65" t="str">
        <f>IF(E41&lt;&gt;"","(Leave: "&amp;(DATEDIF(B41,D41,"d")+1)&amp;" days)","")</f>
        <v/>
      </c>
      <c r="C47" s="65"/>
      <c r="D47" s="65"/>
      <c r="E47" s="65"/>
    </row>
  </sheetData>
  <sheetProtection selectLockedCells="1" selectUnlockedCell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0">
    <mergeCell ref="B43:E43"/>
    <mergeCell ref="B44:E44"/>
    <mergeCell ref="B46:E46"/>
    <mergeCell ref="B47:E47"/>
    <mergeCell ref="A2:C2"/>
    <mergeCell ref="D2:F2"/>
    <mergeCell ref="A28:G28"/>
    <mergeCell ref="A25:G25"/>
    <mergeCell ref="A26:G26"/>
    <mergeCell ref="A27:G27"/>
  </mergeCells>
  <phoneticPr fontId="0" type="noConversion"/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812800</xdr:colOff>
                    <xdr:row>29</xdr:row>
                    <xdr:rowOff>76200</xdr:rowOff>
                  </from>
                  <to>
                    <xdr:col>5</xdr:col>
                    <xdr:colOff>228600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203200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501650</xdr:colOff>
                    <xdr:row>28</xdr:row>
                    <xdr:rowOff>19050</xdr:rowOff>
                  </from>
                  <to>
                    <xdr:col>3</xdr:col>
                    <xdr:colOff>304800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495300</xdr:colOff>
                    <xdr:row>31</xdr:row>
                    <xdr:rowOff>0</xdr:rowOff>
                  </from>
                  <to>
                    <xdr:col>3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"/>
  <sheetViews>
    <sheetView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5.7265625" customWidth="1"/>
    <col min="2" max="2" width="10.453125" customWidth="1"/>
    <col min="3" max="3" width="10.1796875" style="16" customWidth="1"/>
    <col min="4" max="4" width="15.7265625" customWidth="1"/>
    <col min="5" max="5" width="10.453125" customWidth="1"/>
    <col min="6" max="6" width="10.1796875" style="16" customWidth="1"/>
    <col min="7" max="7" width="6.81640625" customWidth="1"/>
  </cols>
  <sheetData>
    <row r="1" spans="1:7" s="17" customFormat="1" ht="12.5" customHeight="1" x14ac:dyDescent="0.25">
      <c r="A1" s="14" t="s">
        <v>10</v>
      </c>
      <c r="B1" s="14" t="s">
        <v>1</v>
      </c>
      <c r="C1" s="45" t="s">
        <v>2</v>
      </c>
      <c r="D1" s="14" t="s">
        <v>10</v>
      </c>
      <c r="E1" s="14" t="s">
        <v>1</v>
      </c>
      <c r="F1" s="45" t="s">
        <v>2</v>
      </c>
      <c r="G1"/>
    </row>
    <row r="2" spans="1:7" ht="12.5" customHeight="1" x14ac:dyDescent="0.25">
      <c r="A2" s="66" t="s">
        <v>3</v>
      </c>
      <c r="B2" s="67"/>
      <c r="C2" s="68"/>
      <c r="D2" s="66"/>
      <c r="E2" s="67"/>
      <c r="F2" s="68"/>
    </row>
    <row r="3" spans="1:7" ht="12.5" customHeight="1" x14ac:dyDescent="0.25">
      <c r="A3" s="56"/>
      <c r="B3" s="7"/>
      <c r="C3" s="60"/>
      <c r="D3" s="56"/>
      <c r="E3" s="7"/>
      <c r="F3" s="60"/>
    </row>
    <row r="4" spans="1:7" ht="12.5" customHeight="1" x14ac:dyDescent="0.25">
      <c r="A4" s="57"/>
      <c r="B4" s="8"/>
      <c r="C4" s="61"/>
      <c r="D4" s="57"/>
      <c r="E4" s="8"/>
      <c r="F4" s="61"/>
    </row>
    <row r="5" spans="1:7" ht="12.5" customHeight="1" x14ac:dyDescent="0.25">
      <c r="A5" s="57"/>
      <c r="B5" s="8"/>
      <c r="C5" s="61"/>
      <c r="D5" s="57"/>
      <c r="E5" s="8"/>
      <c r="F5" s="61"/>
    </row>
    <row r="6" spans="1:7" ht="12.5" customHeight="1" x14ac:dyDescent="0.25">
      <c r="A6" s="57"/>
      <c r="B6" s="8"/>
      <c r="C6" s="61"/>
      <c r="D6" s="57"/>
      <c r="E6" s="8"/>
      <c r="F6" s="61"/>
    </row>
    <row r="7" spans="1:7" ht="12.5" customHeight="1" x14ac:dyDescent="0.25">
      <c r="A7" s="57"/>
      <c r="B7" s="8"/>
      <c r="C7" s="61"/>
      <c r="D7" s="57"/>
      <c r="E7" s="8"/>
      <c r="F7" s="61"/>
    </row>
    <row r="8" spans="1:7" ht="12.5" customHeight="1" x14ac:dyDescent="0.25">
      <c r="A8" s="57"/>
      <c r="B8" s="8"/>
      <c r="C8" s="61"/>
      <c r="D8" s="57"/>
      <c r="E8" s="8"/>
      <c r="F8" s="61"/>
    </row>
    <row r="9" spans="1:7" ht="12.5" customHeight="1" x14ac:dyDescent="0.25">
      <c r="A9" s="57"/>
      <c r="B9" s="8"/>
      <c r="C9" s="61"/>
      <c r="D9" s="57"/>
      <c r="E9" s="8"/>
      <c r="F9" s="61"/>
    </row>
    <row r="10" spans="1:7" ht="12.5" customHeight="1" x14ac:dyDescent="0.25">
      <c r="A10" s="57"/>
      <c r="B10" s="8"/>
      <c r="C10" s="61"/>
      <c r="D10" s="57"/>
      <c r="E10" s="8"/>
      <c r="F10" s="61"/>
    </row>
    <row r="11" spans="1:7" ht="12.5" customHeight="1" x14ac:dyDescent="0.25">
      <c r="A11" s="57"/>
      <c r="B11" s="8"/>
      <c r="C11" s="61"/>
      <c r="D11" s="57"/>
      <c r="E11" s="8"/>
      <c r="F11" s="61"/>
    </row>
    <row r="12" spans="1:7" ht="12.5" customHeight="1" x14ac:dyDescent="0.25">
      <c r="A12" s="3" t="s">
        <v>4</v>
      </c>
      <c r="B12" s="3" t="s">
        <v>4</v>
      </c>
      <c r="C12" s="48"/>
      <c r="D12" s="3" t="s">
        <v>4</v>
      </c>
      <c r="E12" s="3" t="s">
        <v>4</v>
      </c>
      <c r="F12" s="49"/>
      <c r="G12" s="1"/>
    </row>
    <row r="13" spans="1:7" ht="12.5" customHeight="1" x14ac:dyDescent="0.25">
      <c r="A13" s="55" t="str">
        <f>IF(AND(COUNTA(A3:A11), A2&lt;&gt;"Person1 - Employer"),AVERAGE(A3:A11), "")</f>
        <v/>
      </c>
      <c r="B13" s="6" t="str">
        <f>IF(COUNTA(B3:B11),AVERAGE(B3:B11), "")</f>
        <v/>
      </c>
      <c r="D13" s="55" t="str">
        <f>IF(AND(COUNTA(D3:D11), D2&lt;&gt;"Person1 - Employer"),AVERAGE(D3:D11), "")</f>
        <v/>
      </c>
      <c r="E13" s="6" t="str">
        <f>IF(COUNTA(E3:E11),AVERAGE(E3:E11), "")</f>
        <v/>
      </c>
      <c r="F13" s="50"/>
      <c r="G13" s="2"/>
    </row>
    <row r="14" spans="1:7" ht="12.5" customHeight="1" x14ac:dyDescent="0.25">
      <c r="A14" s="3" t="s">
        <v>5</v>
      </c>
      <c r="B14" s="3" t="s">
        <v>6</v>
      </c>
      <c r="C14" s="47"/>
      <c r="D14" s="3" t="s">
        <v>5</v>
      </c>
      <c r="E14" s="3" t="s">
        <v>6</v>
      </c>
      <c r="F14" s="51"/>
      <c r="G14" s="1"/>
    </row>
    <row r="15" spans="1:7" ht="12.5" customHeight="1" x14ac:dyDescent="0.25">
      <c r="A15" s="55" t="str">
        <f>IF(A13&lt;&gt;"", ROUND(A13, 2)*24*IF(D40 &lt;&gt;"",D40, 1)*IF(D36&lt;&gt;"", D36, 1), "")</f>
        <v/>
      </c>
      <c r="B15" s="6" t="str">
        <f>IF(AND(B3&lt;&gt;"", A2&lt;&gt;"Person1 - Employer"),B13*24/52, "")</f>
        <v/>
      </c>
      <c r="C15" s="52"/>
      <c r="D15" s="55" t="str">
        <f>IF(D13&lt;&gt;"", ROUND(D13, 2)*24*IF(D41 &lt;&gt;"",D41, 1)*IF(D37&lt;&gt;"", D37, 1), "")</f>
        <v/>
      </c>
      <c r="E15" s="6" t="str">
        <f>IF(AND(E3&lt;&gt;"", D2&lt;&gt;"Person2 - Employer"),E13*24/52, "")</f>
        <v/>
      </c>
      <c r="F15" s="53"/>
      <c r="G15" s="2"/>
    </row>
    <row r="18" spans="1:7" ht="12.5" customHeight="1" x14ac:dyDescent="0.25">
      <c r="A18" s="4" t="s">
        <v>7</v>
      </c>
      <c r="B18" s="4" t="s">
        <v>8</v>
      </c>
      <c r="C18" s="21" t="s">
        <v>9</v>
      </c>
      <c r="D18" s="4" t="s">
        <v>10</v>
      </c>
      <c r="E18" s="4" t="s">
        <v>11</v>
      </c>
    </row>
    <row r="19" spans="1:7" ht="12.5" customHeight="1" x14ac:dyDescent="0.25">
      <c r="A19" s="5" t="s">
        <v>12</v>
      </c>
      <c r="B19" s="55"/>
      <c r="C19" s="55"/>
      <c r="D19" s="55"/>
      <c r="E19" s="55" t="str">
        <f>IF(COUNTA(B19:D19),SUM(B19*26+C19*12+D19*24), "")</f>
        <v/>
      </c>
    </row>
    <row r="20" spans="1:7" ht="12.5" customHeight="1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ht="12.5" customHeight="1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ht="12.5" customHeight="1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ht="12.5" customHeight="1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2.5" customHeight="1" x14ac:dyDescent="0.3">
      <c r="A25" s="69" t="str">
        <f>IF(A$15&lt;&gt;"", _xlfn.TEXTJOIN(" ", TRUE, A$2&amp;": SM avg $"&amp;TEXT(A$13, "0.00")&amp;", "&amp;TEXT(B$15, "0.0")&amp;"hr/wk; annual @ "&amp;TEXT(A$15,"0.00"), B43, B46), "")</f>
        <v/>
      </c>
      <c r="B25" s="69"/>
      <c r="C25" s="69"/>
      <c r="D25" s="69"/>
      <c r="E25" s="69"/>
      <c r="F25" s="69"/>
      <c r="G25" s="69"/>
    </row>
    <row r="26" spans="1:7" ht="12.5" customHeight="1" x14ac:dyDescent="0.3">
      <c r="A26" s="69" t="str">
        <f>IF(D$15&lt;&gt;"", _xlfn.TEXTJOIN(" ", TRUE, D$2&amp;": SM avg $"&amp;TEXT(D$13, "0.00")&amp;", "&amp;TEXT(E$15, "0.0")&amp;"hr/wk; annual @ "&amp;TEXT(D$15,"0.00"), B44, B47), "")</f>
        <v/>
      </c>
      <c r="B26" s="69"/>
      <c r="C26" s="69"/>
      <c r="D26" s="69"/>
      <c r="E26" s="69"/>
      <c r="F26" s="69"/>
      <c r="G26" s="69"/>
    </row>
    <row r="27" spans="1:7" ht="12.5" customHeight="1" x14ac:dyDescent="0.3">
      <c r="A27" s="69" t="str">
        <f>(IF(B19, "Medical: BW $" &amp; TEXT(B19,"0.00") &amp; ", ", "") &amp; IF(C19, "Medical: MO $" &amp; TEXT(C19,"0.00") &amp; ", ", "") &amp; IF(D19, "Medical: SM $" &amp; TEXT(D19,"0.00") &amp; ", ", "") &amp; IF(B20, "Dental: BW $" &amp; TEXT(B20,"0.00") &amp; ", ", "") &amp; IF(C20, "Dental: MO $" &amp; TEXT(C20,"0.00") &amp; ", ", "") &amp; IF(D20, "Dental: SM $" &amp; TEXT(D20,"0.00") &amp; ", ", "") &amp; IF(B21, "Vision: BW $" &amp; TEXT(B21,"0.00") &amp; ", ", "") &amp; IF(C21, "Vision: MO $" &amp; TEXT(C21,"0.00") &amp; ", ", "") &amp; IF(D21, "Vision: SM $" &amp; TEXT(D21,"0.00") &amp; ", ", "") &amp; IF(B22, "CS Paid: BW $" &amp; TEXT(B22,"0.00") &amp; ", ", "") &amp; IF(C22, "CS Paid: MO $" &amp; TEXT(C22,"0.00") &amp; ", ", "") &amp; IF(D22, "CS Paid: SM $" &amp; TEXT(D22,"0.00") &amp; ", ", "") &amp; IF(B23, "SS Paid: BW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7" s="69"/>
      <c r="C27" s="69"/>
      <c r="D27" s="69"/>
      <c r="E27" s="69"/>
      <c r="F27" s="69"/>
      <c r="G27" s="69"/>
    </row>
    <row r="28" spans="1:7" ht="12.5" customHeight="1" x14ac:dyDescent="0.3">
      <c r="A28" s="69"/>
      <c r="B28" s="69"/>
      <c r="C28" s="69"/>
      <c r="D28" s="69"/>
      <c r="E28" s="69"/>
      <c r="F28" s="69"/>
      <c r="G28" s="69"/>
    </row>
    <row r="33" spans="1:6" ht="12.5" customHeight="1" x14ac:dyDescent="0.3">
      <c r="A33" s="15"/>
      <c r="B33" s="15"/>
      <c r="C33" s="46"/>
      <c r="D33" s="15"/>
      <c r="E33" s="15"/>
      <c r="F33" s="46"/>
    </row>
    <row r="35" spans="1:6" ht="12.5" customHeight="1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6" ht="12.5" customHeight="1" x14ac:dyDescent="0.25">
      <c r="A36" t="s">
        <v>21</v>
      </c>
      <c r="B36" s="62"/>
      <c r="C36" s="62"/>
      <c r="D36" t="str">
        <f>IF(COUNTA(B36),B36/52,IF(COUNTA(C36),C36/12,""))</f>
        <v/>
      </c>
      <c r="E36" s="18"/>
    </row>
    <row r="37" spans="1:6" ht="12.5" customHeight="1" x14ac:dyDescent="0.25">
      <c r="A37" t="s">
        <v>22</v>
      </c>
      <c r="B37" s="62"/>
      <c r="C37" s="62"/>
      <c r="D37" t="str">
        <f>IF(COUNTA(B37),B37/52,IF(COUNTA(C37),C37/12,""))</f>
        <v/>
      </c>
      <c r="E37" s="18"/>
    </row>
    <row r="39" spans="1:6" ht="12.5" customHeight="1" x14ac:dyDescent="0.25">
      <c r="A39" t="s">
        <v>23</v>
      </c>
      <c r="B39" s="17" t="s">
        <v>24</v>
      </c>
      <c r="C39" s="17" t="s">
        <v>25</v>
      </c>
      <c r="D39" s="17" t="s">
        <v>20</v>
      </c>
    </row>
    <row r="40" spans="1:6" ht="12.5" customHeight="1" x14ac:dyDescent="0.25">
      <c r="A40" t="s">
        <v>21</v>
      </c>
      <c r="B40" s="16"/>
      <c r="D40" s="63" t="str">
        <f>IF(COUNTA(B40, C40)=2, (1-((DATEDIF(B40,C40,"d")+1)/365)), "")</f>
        <v/>
      </c>
      <c r="E40" s="18"/>
    </row>
    <row r="41" spans="1:6" ht="12.5" customHeight="1" x14ac:dyDescent="0.25">
      <c r="A41" t="s">
        <v>22</v>
      </c>
      <c r="B41" s="16"/>
      <c r="D41" s="63" t="str">
        <f>IF(COUNTA(B40, C40)=2, (1-((DATEDIF(B40,C40,"d")+1)/365)), "")</f>
        <v/>
      </c>
      <c r="E41" s="18"/>
    </row>
    <row r="43" spans="1:6" ht="12.5" customHeight="1" x14ac:dyDescent="0.25">
      <c r="A43" t="s">
        <v>26</v>
      </c>
      <c r="B43" s="65" t="str">
        <f>IF(E36&lt;&gt;"",IF(COUNTA(B36),"(contract: "&amp; B36 &amp;"/52 weeks)","(contract: "&amp;C36&amp;"/12 months)"),"")</f>
        <v/>
      </c>
      <c r="C43" s="65"/>
      <c r="D43" s="65"/>
      <c r="E43" s="65"/>
    </row>
    <row r="44" spans="1:6" ht="12.5" customHeight="1" x14ac:dyDescent="0.25">
      <c r="A44" t="s">
        <v>27</v>
      </c>
      <c r="B44" s="65" t="str">
        <f>IF(E37&lt;&gt;"",IF(COUNTA(B37),"(contract: "&amp; B37 &amp;"/52 weeks)","(contract: "&amp;C37&amp;"/12 months)"),"")</f>
        <v/>
      </c>
      <c r="C44" s="65"/>
      <c r="D44" s="65"/>
      <c r="E44" s="65"/>
    </row>
    <row r="46" spans="1:6" ht="12.5" customHeight="1" x14ac:dyDescent="0.25">
      <c r="A46" t="s">
        <v>28</v>
      </c>
      <c r="B46" s="65" t="str">
        <f>IF(E40&lt;&gt;"","(Leave: "&amp;(DATEDIF(B40,D40,"d")+1)&amp;" days)","")</f>
        <v/>
      </c>
      <c r="C46" s="65"/>
      <c r="D46" s="65"/>
      <c r="E46" s="65"/>
    </row>
    <row r="47" spans="1:6" ht="12.5" customHeight="1" x14ac:dyDescent="0.25">
      <c r="A47" t="s">
        <v>29</v>
      </c>
      <c r="B47" s="65" t="str">
        <f>IF(E41&lt;&gt;"","(Leave: "&amp;(DATEDIF(B41,D41,"d")+1)&amp;" days)","")</f>
        <v/>
      </c>
      <c r="C47" s="65"/>
      <c r="D47" s="65"/>
      <c r="E47" s="65"/>
    </row>
  </sheetData>
  <sheetProtection selectLockedCells="1" selectUnlockedCells="1"/>
  <customSheetViews>
    <customSheetView guid="{292C5557-1FFE-4F9F-B4A6-F222AD2998EA}">
      <selection activeCell="A2" sqref="A2:B2"/>
      <pageMargins left="0" right="0" top="0" bottom="0" header="0" footer="0"/>
      <pageSetup orientation="portrait" horizontalDpi="300" verticalDpi="300" r:id="rId1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0">
    <mergeCell ref="B47:E47"/>
    <mergeCell ref="A2:C2"/>
    <mergeCell ref="D2:F2"/>
    <mergeCell ref="B43:E43"/>
    <mergeCell ref="B44:E44"/>
    <mergeCell ref="B46:E46"/>
    <mergeCell ref="A25:G25"/>
    <mergeCell ref="A26:G26"/>
    <mergeCell ref="A27:G27"/>
    <mergeCell ref="A28:G28"/>
  </mergeCells>
  <phoneticPr fontId="0" type="noConversion"/>
  <printOptions horizontalCentered="1"/>
  <pageMargins left="0.7" right="0.7" top="2" bottom="0.75" header="0.3" footer="0.3"/>
  <pageSetup orientation="portrait" horizontalDpi="300" verticalDpi="300" r:id="rId2"/>
  <headerFooter alignWithMargins="0">
    <oddHeader>&amp;C&amp;"Times New Roman,Regular"&amp;12Prepared on &amp;D</oddHeader>
    <oddFooter>&amp;C&amp;"Times New Roman,Regular"&amp;12Prepared on &amp;D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ClearAll">
                <anchor>
                  <from>
                    <xdr:col>3</xdr:col>
                    <xdr:colOff>812800</xdr:colOff>
                    <xdr:row>29</xdr:row>
                    <xdr:rowOff>76200</xdr:rowOff>
                  </from>
                  <to>
                    <xdr:col>5</xdr:col>
                    <xdr:colOff>228600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203200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Person2">
                <anchor>
                  <from>
                    <xdr:col>1</xdr:col>
                    <xdr:colOff>501650</xdr:colOff>
                    <xdr:row>28</xdr:row>
                    <xdr:rowOff>19050</xdr:rowOff>
                  </from>
                  <to>
                    <xdr:col>3</xdr:col>
                    <xdr:colOff>304800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Button 20">
              <controlPr defaultSize="0" print="0" autoFill="0" autoPict="0" macro="[0]!CopyExpense">
                <anchor>
                  <from>
                    <xdr:col>1</xdr:col>
                    <xdr:colOff>495300</xdr:colOff>
                    <xdr:row>31</xdr:row>
                    <xdr:rowOff>0</xdr:rowOff>
                  </from>
                  <to>
                    <xdr:col>3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47"/>
  <sheetViews>
    <sheetView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5.7265625" customWidth="1"/>
    <col min="2" max="2" width="10.453125" customWidth="1"/>
    <col min="3" max="3" width="10.1796875" style="16" customWidth="1"/>
    <col min="4" max="4" width="15.7265625" customWidth="1"/>
    <col min="5" max="5" width="10.453125" customWidth="1"/>
    <col min="6" max="6" width="10.1796875" style="16" customWidth="1"/>
    <col min="7" max="7" width="6.81640625" customWidth="1"/>
  </cols>
  <sheetData>
    <row r="1" spans="1:7" ht="12.5" customHeight="1" x14ac:dyDescent="0.25">
      <c r="A1" s="14" t="s">
        <v>30</v>
      </c>
      <c r="B1" s="14" t="s">
        <v>1</v>
      </c>
      <c r="C1" s="45" t="s">
        <v>2</v>
      </c>
      <c r="D1" s="14" t="s">
        <v>30</v>
      </c>
      <c r="E1" s="14" t="s">
        <v>1</v>
      </c>
      <c r="F1" s="45" t="s">
        <v>2</v>
      </c>
    </row>
    <row r="2" spans="1:7" ht="12.5" customHeight="1" x14ac:dyDescent="0.25">
      <c r="A2" s="66" t="s">
        <v>3</v>
      </c>
      <c r="B2" s="67"/>
      <c r="C2" s="68"/>
      <c r="D2" s="66"/>
      <c r="E2" s="67"/>
      <c r="F2" s="68"/>
    </row>
    <row r="3" spans="1:7" ht="12.5" customHeight="1" x14ac:dyDescent="0.25">
      <c r="A3" s="56"/>
      <c r="B3" s="7"/>
      <c r="C3" s="60"/>
      <c r="D3" s="56"/>
      <c r="E3" s="7"/>
      <c r="F3" s="60"/>
    </row>
    <row r="4" spans="1:7" ht="12.5" customHeight="1" x14ac:dyDescent="0.25">
      <c r="A4" s="57"/>
      <c r="B4" s="8"/>
      <c r="C4" s="61"/>
      <c r="D4" s="57"/>
      <c r="E4" s="8"/>
      <c r="F4" s="61"/>
    </row>
    <row r="5" spans="1:7" ht="12.5" customHeight="1" x14ac:dyDescent="0.25">
      <c r="A5" s="57"/>
      <c r="B5" s="8"/>
      <c r="C5" s="61"/>
      <c r="D5" s="57"/>
      <c r="E5" s="8"/>
      <c r="F5" s="61"/>
    </row>
    <row r="6" spans="1:7" ht="12.5" customHeight="1" x14ac:dyDescent="0.25">
      <c r="A6" s="57"/>
      <c r="B6" s="8"/>
      <c r="C6" s="61"/>
      <c r="D6" s="57"/>
      <c r="E6" s="8"/>
      <c r="F6" s="61"/>
    </row>
    <row r="7" spans="1:7" ht="12.5" customHeight="1" x14ac:dyDescent="0.25">
      <c r="A7" s="57"/>
      <c r="B7" s="8"/>
      <c r="C7" s="61"/>
      <c r="D7" s="57"/>
      <c r="E7" s="8"/>
      <c r="F7" s="61"/>
    </row>
    <row r="8" spans="1:7" ht="12.5" customHeight="1" x14ac:dyDescent="0.25">
      <c r="A8" s="57"/>
      <c r="B8" s="8"/>
      <c r="C8" s="61"/>
      <c r="D8" s="57"/>
      <c r="E8" s="8"/>
      <c r="F8" s="61"/>
    </row>
    <row r="9" spans="1:7" ht="12.5" customHeight="1" x14ac:dyDescent="0.25">
      <c r="A9" s="57"/>
      <c r="B9" s="8"/>
      <c r="C9" s="61"/>
      <c r="D9" s="57"/>
      <c r="E9" s="8"/>
      <c r="F9" s="61"/>
    </row>
    <row r="10" spans="1:7" ht="12.5" customHeight="1" x14ac:dyDescent="0.25">
      <c r="A10" s="57"/>
      <c r="B10" s="8"/>
      <c r="C10" s="61"/>
      <c r="D10" s="57"/>
      <c r="E10" s="8"/>
      <c r="F10" s="61"/>
    </row>
    <row r="11" spans="1:7" ht="12.5" customHeight="1" x14ac:dyDescent="0.25">
      <c r="A11" s="57"/>
      <c r="B11" s="8"/>
      <c r="C11" s="61"/>
      <c r="D11" s="57"/>
      <c r="E11" s="8"/>
      <c r="F11" s="61"/>
    </row>
    <row r="12" spans="1:7" ht="12.5" customHeight="1" x14ac:dyDescent="0.25">
      <c r="A12" s="3" t="s">
        <v>4</v>
      </c>
      <c r="B12" s="3" t="s">
        <v>4</v>
      </c>
      <c r="C12" s="48"/>
      <c r="D12" s="3" t="s">
        <v>4</v>
      </c>
      <c r="E12" s="3" t="s">
        <v>4</v>
      </c>
      <c r="F12" s="49"/>
      <c r="G12" s="1"/>
    </row>
    <row r="13" spans="1:7" ht="12.5" customHeight="1" x14ac:dyDescent="0.25">
      <c r="A13" s="55" t="str">
        <f>IF(COUNTA(A3:A11),AVERAGE(A3:A11), "")</f>
        <v/>
      </c>
      <c r="B13" s="6" t="str">
        <f>IF(COUNTA(B3:B11),AVERAGE(B3:B11), "")</f>
        <v/>
      </c>
      <c r="D13" s="55" t="str">
        <f>IF(COUNTA(D3:D11),AVERAGE(D3:D11), "")</f>
        <v/>
      </c>
      <c r="E13" s="6" t="str">
        <f>IF(COUNTA(E3:E11),AVERAGE(E3:E11), "")</f>
        <v/>
      </c>
      <c r="F13" s="50"/>
      <c r="G13" s="2"/>
    </row>
    <row r="14" spans="1:7" ht="12.5" customHeight="1" x14ac:dyDescent="0.25">
      <c r="A14" s="3" t="s">
        <v>5</v>
      </c>
      <c r="B14" s="3"/>
      <c r="C14" s="47"/>
      <c r="D14" s="3" t="s">
        <v>5</v>
      </c>
      <c r="E14" s="3"/>
      <c r="F14" s="51"/>
      <c r="G14" s="1"/>
    </row>
    <row r="15" spans="1:7" ht="12.5" customHeight="1" x14ac:dyDescent="0.25">
      <c r="A15" s="55" t="str">
        <f>IF(A13&lt;&gt;"", ROUND(A13, 2)*52*IF(D40 &lt;&gt;"",D40, 1)*IF(D36&lt;&gt;"", D36, 1), "")</f>
        <v/>
      </c>
      <c r="B15" s="6"/>
      <c r="C15" s="52"/>
      <c r="D15" s="55" t="str">
        <f>IF(D13&lt;&gt;"", ROUND(D13, 2)*52*IF(D41 &lt;&gt;"",D41, 1)*IF(D37&lt;&gt;"", D37, 1), "")</f>
        <v/>
      </c>
      <c r="E15" s="6"/>
      <c r="F15" s="53"/>
      <c r="G15" s="2"/>
    </row>
    <row r="18" spans="1:7" ht="12.5" customHeight="1" x14ac:dyDescent="0.25">
      <c r="A18" s="4" t="s">
        <v>7</v>
      </c>
      <c r="B18" s="4" t="s">
        <v>30</v>
      </c>
      <c r="C18" s="21" t="s">
        <v>9</v>
      </c>
      <c r="D18" s="4" t="s">
        <v>10</v>
      </c>
      <c r="E18" s="4" t="s">
        <v>11</v>
      </c>
    </row>
    <row r="19" spans="1:7" ht="12.5" customHeight="1" x14ac:dyDescent="0.25">
      <c r="A19" s="5" t="s">
        <v>12</v>
      </c>
      <c r="B19" s="55"/>
      <c r="C19" s="55"/>
      <c r="D19" s="55"/>
      <c r="E19" s="55" t="str">
        <f>IF(COUNTA(B19:D19),SUM(B19*52+C19*12+D19*24), "")</f>
        <v/>
      </c>
    </row>
    <row r="20" spans="1:7" ht="12.5" customHeight="1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ht="12.5" customHeight="1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ht="12.5" customHeight="1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ht="12.5" customHeight="1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2.5" customHeight="1" x14ac:dyDescent="0.3">
      <c r="A25" s="69" t="str">
        <f>IF(A$15&lt;&gt;"", _xlfn.TEXTJOIN(" ", TRUE, A$2&amp;": WK avg $"&amp;TEXT(A$13, "0.00")&amp;", "&amp;TEXT(B$13, "0.0")&amp;"hr/wk; annual @ "&amp;TEXT(A$15,"0.00"), B43, B46), "")</f>
        <v/>
      </c>
      <c r="B25" s="69"/>
      <c r="C25" s="69"/>
      <c r="D25" s="69"/>
      <c r="E25" s="69"/>
      <c r="F25" s="69"/>
      <c r="G25" s="69"/>
    </row>
    <row r="26" spans="1:7" ht="12.5" customHeight="1" x14ac:dyDescent="0.3">
      <c r="A26" s="69" t="str">
        <f>IF(D$15&lt;&gt;"", _xlfn.TEXTJOIN(" ", TRUE, D$2&amp;": WK avg $"&amp;TEXT(D$13, "0.00")&amp;", "&amp;TEXT(E$13, "0.0")&amp;"hr/wk; annual @ "&amp;TEXT(D$15,"0.00"), B44, B47), "")</f>
        <v/>
      </c>
      <c r="B26" s="69"/>
      <c r="C26" s="69"/>
      <c r="D26" s="69"/>
      <c r="E26" s="69"/>
      <c r="F26" s="69"/>
      <c r="G26" s="69"/>
    </row>
    <row r="27" spans="1:7" ht="12.5" customHeight="1" x14ac:dyDescent="0.3">
      <c r="A27" s="69" t="str">
        <f>(IF(B19, "Medical: WK $" &amp; TEXT(B19,"0.00") &amp; ", ", "") &amp; IF(C19, "Medical: MO $" &amp; TEXT(C19,"0.00") &amp; ", ", "") &amp; IF(D19, "Medical: SM $" &amp; TEXT(D19,"0.00") &amp; ", ", "") &amp; IF(B20, "Dental: WK $" &amp; TEXT(B20,"0.00") &amp; ", ", "") &amp; IF(C20, "Dental: MO $" &amp; TEXT(C20,"0.00") &amp; ", ", "") &amp; IF(D20, "Dental: SM $" &amp; TEXT(D20,"0.00") &amp; ", ", "") &amp; IF(B21, "Vision: WK $" &amp; TEXT(B21,"0.00") &amp; ", ", "") &amp; IF(C21, "Vision: MO $" &amp; TEXT(C21,"0.00") &amp; ", ", "") &amp; IF(D21, "Vision: SM $" &amp; TEXT(D21,"0.00") &amp; ", ", "") &amp; IF(B22, "CS Paid: WK $" &amp; TEXT(B22,"0.00") &amp; ", ", "") &amp; IF(C22, "CS Paid: MO $" &amp; TEXT(C22,"0.00") &amp; ", ", "") &amp; IF(D22, "CS Paid: SM $" &amp; TEXT(D22,"0.00") &amp; ", ", "") &amp; IF(B23, "SS Paid: WK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7" s="69"/>
      <c r="C27" s="69"/>
      <c r="D27" s="69"/>
      <c r="E27" s="69"/>
      <c r="F27" s="69"/>
      <c r="G27" s="69"/>
    </row>
    <row r="28" spans="1:7" ht="12.5" customHeight="1" x14ac:dyDescent="0.3">
      <c r="A28" s="69"/>
      <c r="B28" s="69"/>
      <c r="C28" s="69"/>
      <c r="D28" s="69"/>
      <c r="E28" s="69"/>
      <c r="F28" s="69"/>
      <c r="G28" s="69"/>
    </row>
    <row r="33" spans="1:6" ht="12.5" customHeight="1" x14ac:dyDescent="0.3">
      <c r="A33" s="15"/>
      <c r="B33" s="15"/>
      <c r="C33" s="46"/>
      <c r="D33" s="15"/>
      <c r="E33" s="15"/>
      <c r="F33" s="46"/>
    </row>
    <row r="35" spans="1:6" ht="12.5" customHeight="1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6" ht="12.5" customHeight="1" x14ac:dyDescent="0.25">
      <c r="A36" t="s">
        <v>21</v>
      </c>
      <c r="B36" s="62"/>
      <c r="C36" s="62"/>
      <c r="D36" t="str">
        <f>IF(COUNTA(B36),B36/52,IF(COUNTA(C36),C36/12,""))</f>
        <v/>
      </c>
      <c r="E36" s="18"/>
    </row>
    <row r="37" spans="1:6" ht="12.5" customHeight="1" x14ac:dyDescent="0.25">
      <c r="A37" t="s">
        <v>22</v>
      </c>
      <c r="B37" s="62"/>
      <c r="C37" s="62"/>
      <c r="D37" t="str">
        <f>IF(COUNTA(B37),B37/52,IF(COUNTA(C37),C37/12,""))</f>
        <v/>
      </c>
      <c r="E37" s="18"/>
    </row>
    <row r="39" spans="1:6" ht="12.5" customHeight="1" x14ac:dyDescent="0.25">
      <c r="A39" t="s">
        <v>23</v>
      </c>
      <c r="B39" s="17" t="s">
        <v>24</v>
      </c>
      <c r="C39" s="17" t="s">
        <v>25</v>
      </c>
      <c r="D39" s="17" t="s">
        <v>20</v>
      </c>
    </row>
    <row r="40" spans="1:6" ht="12.5" customHeight="1" x14ac:dyDescent="0.25">
      <c r="A40" t="s">
        <v>21</v>
      </c>
      <c r="B40" s="16"/>
      <c r="D40" s="64"/>
      <c r="E40" s="18"/>
    </row>
    <row r="41" spans="1:6" ht="12.5" customHeight="1" x14ac:dyDescent="0.25">
      <c r="A41" t="s">
        <v>22</v>
      </c>
      <c r="B41" s="16"/>
      <c r="D41" s="64"/>
      <c r="E41" s="18"/>
    </row>
    <row r="43" spans="1:6" ht="12.5" customHeight="1" x14ac:dyDescent="0.25">
      <c r="A43" t="s">
        <v>26</v>
      </c>
      <c r="B43" s="65" t="str">
        <f>IF(E36&lt;&gt;"",IF(COUNTA(B36),"(contract: "&amp; B36 &amp;"/52 weeks)","(contract: "&amp;C36&amp;"/12 months)"),"")</f>
        <v/>
      </c>
      <c r="C43" s="65"/>
      <c r="D43" s="65"/>
      <c r="E43" s="65"/>
    </row>
    <row r="44" spans="1:6" ht="12.5" customHeight="1" x14ac:dyDescent="0.25">
      <c r="A44" t="s">
        <v>27</v>
      </c>
      <c r="B44" s="65" t="str">
        <f>IF(E37&lt;&gt;"",IF(COUNTA(B37),"(contract: "&amp; B37 &amp;"/52 weeks)","(contract: "&amp;C37&amp;"/12 months)"),"")</f>
        <v/>
      </c>
      <c r="C44" s="65"/>
      <c r="D44" s="65"/>
      <c r="E44" s="65"/>
    </row>
    <row r="46" spans="1:6" ht="12.5" customHeight="1" x14ac:dyDescent="0.25">
      <c r="A46" t="s">
        <v>28</v>
      </c>
      <c r="B46" s="65" t="str">
        <f>IF(E40&lt;&gt;"","(Leave: "&amp;(DATEDIF(B40,D40,"d")+1)&amp;" days)","")</f>
        <v/>
      </c>
      <c r="C46" s="65"/>
      <c r="D46" s="65"/>
      <c r="E46" s="65"/>
    </row>
    <row r="47" spans="1:6" ht="12.5" customHeight="1" x14ac:dyDescent="0.25">
      <c r="A47" t="s">
        <v>29</v>
      </c>
      <c r="B47" s="65" t="str">
        <f>IF(E41&lt;&gt;"","(Leave: "&amp;(DATEDIF(B41,D41,"d")+1)&amp;" days)","")</f>
        <v/>
      </c>
      <c r="C47" s="65"/>
      <c r="D47" s="65"/>
      <c r="E47" s="65"/>
    </row>
  </sheetData>
  <sheetProtection selectLockedCells="1" selectUnlockedCells="1"/>
  <customSheetViews>
    <customSheetView guid="{292C5557-1FFE-4F9F-B4A6-F222AD2998EA}">
      <selection activeCell="A2" sqref="A2:B2"/>
      <pageMargins left="0" right="0" top="0" bottom="0" header="0" footer="0"/>
      <pageSetup orientation="portrait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10">
    <mergeCell ref="B47:E47"/>
    <mergeCell ref="A2:C2"/>
    <mergeCell ref="D2:F2"/>
    <mergeCell ref="B43:E43"/>
    <mergeCell ref="B44:E44"/>
    <mergeCell ref="B46:E46"/>
    <mergeCell ref="A25:G25"/>
    <mergeCell ref="A26:G26"/>
    <mergeCell ref="A27:G27"/>
    <mergeCell ref="A28:G28"/>
  </mergeCells>
  <phoneticPr fontId="0" type="noConversion"/>
  <printOptions horizontalCentered="1"/>
  <pageMargins left="0.7" right="0.7" top="2" bottom="0.75" header="0.3" footer="0.3"/>
  <pageSetup orientation="portrait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4" name="Button 14">
              <controlPr defaultSize="0" print="0" autoFill="0" autoPict="0" macro="[0]!ClearAll">
                <anchor>
                  <from>
                    <xdr:col>3</xdr:col>
                    <xdr:colOff>812800</xdr:colOff>
                    <xdr:row>29</xdr:row>
                    <xdr:rowOff>76200</xdr:rowOff>
                  </from>
                  <to>
                    <xdr:col>5</xdr:col>
                    <xdr:colOff>228600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5" name="Button 15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203200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6" name="Button 16">
              <controlPr defaultSize="0" print="0" autoFill="0" autoPict="0" macro="[0]!Person2">
                <anchor>
                  <from>
                    <xdr:col>1</xdr:col>
                    <xdr:colOff>501650</xdr:colOff>
                    <xdr:row>28</xdr:row>
                    <xdr:rowOff>19050</xdr:rowOff>
                  </from>
                  <to>
                    <xdr:col>3</xdr:col>
                    <xdr:colOff>304800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7" name="Button 17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203200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8" name="Button 18">
              <controlPr defaultSize="0" print="0" autoFill="0" autoPict="0" macro="[0]!CopyExpense">
                <anchor>
                  <from>
                    <xdr:col>1</xdr:col>
                    <xdr:colOff>495300</xdr:colOff>
                    <xdr:row>31</xdr:row>
                    <xdr:rowOff>0</xdr:rowOff>
                  </from>
                  <to>
                    <xdr:col>3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K45"/>
  <sheetViews>
    <sheetView zoomScaleNormal="100" workbookViewId="0">
      <selection activeCell="A2" sqref="A2"/>
    </sheetView>
  </sheetViews>
  <sheetFormatPr defaultRowHeight="12.5" x14ac:dyDescent="0.25"/>
  <cols>
    <col min="1" max="1" width="9.453125" style="36" customWidth="1"/>
    <col min="2" max="2" width="2.7265625" customWidth="1"/>
    <col min="3" max="3" width="10.54296875" customWidth="1"/>
    <col min="4" max="4" width="4.54296875" customWidth="1"/>
    <col min="5" max="5" width="13.453125" customWidth="1"/>
    <col min="6" max="6" width="3.453125" customWidth="1"/>
    <col min="7" max="7" width="9.542968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11" x14ac:dyDescent="0.25">
      <c r="A1" s="35" t="s">
        <v>37</v>
      </c>
      <c r="B1" s="25"/>
      <c r="C1" s="26" t="s">
        <v>38</v>
      </c>
      <c r="E1" s="54" t="s">
        <v>15</v>
      </c>
      <c r="G1" s="71" t="s">
        <v>39</v>
      </c>
      <c r="H1" s="71"/>
      <c r="I1" s="37">
        <v>6</v>
      </c>
      <c r="J1" s="38"/>
      <c r="K1" s="34"/>
    </row>
    <row r="2" spans="1:11" x14ac:dyDescent="0.25">
      <c r="A2" s="35"/>
      <c r="B2" s="25"/>
      <c r="C2" s="26"/>
      <c r="E2" s="54" t="s">
        <v>40</v>
      </c>
      <c r="G2" s="34"/>
      <c r="H2" s="34"/>
      <c r="I2" s="34"/>
      <c r="J2" s="34"/>
      <c r="K2" s="34"/>
    </row>
    <row r="3" spans="1:11" x14ac:dyDescent="0.25">
      <c r="B3" s="27"/>
      <c r="C3" s="28"/>
      <c r="G3" s="72" t="s">
        <v>41</v>
      </c>
      <c r="H3" s="72"/>
      <c r="I3" s="72"/>
      <c r="J3" s="72"/>
    </row>
    <row r="4" spans="1:11" x14ac:dyDescent="0.25">
      <c r="B4" s="27"/>
      <c r="C4" s="28"/>
      <c r="G4" s="73" t="str">
        <f>$I$1&amp;" months:"</f>
        <v>6 months:</v>
      </c>
      <c r="H4" s="73"/>
      <c r="I4" s="73"/>
      <c r="J4" s="73"/>
    </row>
    <row r="5" spans="1:11" ht="12.65" customHeight="1" x14ac:dyDescent="0.25">
      <c r="B5" s="27"/>
      <c r="C5" s="28"/>
      <c r="E5" s="17" t="str">
        <f>$I$1 &amp;" month total:"</f>
        <v>6 month total:</v>
      </c>
      <c r="G5" s="74">
        <f ca="1">TODAY()-ROUNDDOWN(($I$1/12*365),0)</f>
        <v>45624</v>
      </c>
      <c r="H5" s="74"/>
      <c r="I5" s="74"/>
      <c r="J5" s="74"/>
    </row>
    <row r="6" spans="1:11" x14ac:dyDescent="0.25">
      <c r="B6" s="27"/>
      <c r="C6" s="28"/>
      <c r="E6" s="39">
        <f>SUM(C2:C200)</f>
        <v>0</v>
      </c>
    </row>
    <row r="7" spans="1:11" ht="12.65" customHeight="1" x14ac:dyDescent="0.25">
      <c r="B7" s="27"/>
      <c r="C7" s="28"/>
      <c r="G7" s="76" t="s">
        <v>42</v>
      </c>
      <c r="H7" s="33"/>
      <c r="I7" s="43"/>
      <c r="J7" s="43"/>
    </row>
    <row r="8" spans="1:11" x14ac:dyDescent="0.25">
      <c r="B8" s="27"/>
      <c r="C8" s="28"/>
      <c r="E8" s="54" t="str">
        <f>IF(E5="12 Month Total:","","Annualized:")</f>
        <v>Annualized:</v>
      </c>
      <c r="F8" s="28"/>
      <c r="G8" s="75"/>
      <c r="H8" s="75" t="str">
        <f>$I$1&amp;" months"</f>
        <v>6 months</v>
      </c>
      <c r="I8" s="75"/>
      <c r="J8" s="75"/>
    </row>
    <row r="9" spans="1:11" x14ac:dyDescent="0.25">
      <c r="B9" s="27"/>
      <c r="C9" s="28"/>
      <c r="E9" s="28">
        <f>IF(E8&lt;&gt;"", E6/I1*12, "")</f>
        <v>0</v>
      </c>
      <c r="G9" s="44">
        <v>1</v>
      </c>
      <c r="H9" s="29">
        <v>12</v>
      </c>
      <c r="I9" s="30" t="s">
        <v>43</v>
      </c>
      <c r="J9" s="32">
        <f>IF(H9&lt;$I$1,H9+(12-$I$1+1),H9-($I$1-1))</f>
        <v>7</v>
      </c>
    </row>
    <row r="10" spans="1:11" x14ac:dyDescent="0.25">
      <c r="B10" s="27"/>
      <c r="C10" s="28"/>
      <c r="G10" s="44">
        <v>2</v>
      </c>
      <c r="H10" s="29">
        <v>1</v>
      </c>
      <c r="I10" s="30" t="s">
        <v>43</v>
      </c>
      <c r="J10" s="32">
        <f>IF(H10&lt;$I$1,H10+(12-$I$1+1),H10-($I$1-1))</f>
        <v>8</v>
      </c>
    </row>
    <row r="11" spans="1:11" x14ac:dyDescent="0.25">
      <c r="B11" s="27"/>
      <c r="C11" s="28"/>
      <c r="G11" s="44">
        <v>3</v>
      </c>
      <c r="H11" s="29">
        <v>2</v>
      </c>
      <c r="I11" s="30" t="s">
        <v>43</v>
      </c>
      <c r="J11" s="32">
        <f t="shared" ref="J11:J20" si="0">IF(H11&lt;$I$1,H11+(12-$I$1+1),H11-($I$1-1))</f>
        <v>9</v>
      </c>
    </row>
    <row r="12" spans="1:11" x14ac:dyDescent="0.25">
      <c r="B12" s="27"/>
      <c r="C12" s="28"/>
      <c r="G12" s="44">
        <v>4</v>
      </c>
      <c r="H12" s="29">
        <v>3</v>
      </c>
      <c r="I12" s="30" t="s">
        <v>43</v>
      </c>
      <c r="J12" s="32">
        <f t="shared" si="0"/>
        <v>10</v>
      </c>
    </row>
    <row r="13" spans="1:11" x14ac:dyDescent="0.25">
      <c r="B13" s="27"/>
      <c r="C13" s="28"/>
      <c r="G13" s="44">
        <v>5</v>
      </c>
      <c r="H13" s="29">
        <v>4</v>
      </c>
      <c r="I13" s="30" t="s">
        <v>43</v>
      </c>
      <c r="J13" s="32">
        <f t="shared" si="0"/>
        <v>11</v>
      </c>
    </row>
    <row r="14" spans="1:11" x14ac:dyDescent="0.25">
      <c r="B14" s="27"/>
      <c r="C14" s="28"/>
      <c r="G14" s="44">
        <v>6</v>
      </c>
      <c r="H14" s="29">
        <v>5</v>
      </c>
      <c r="I14" s="30" t="s">
        <v>43</v>
      </c>
      <c r="J14" s="32">
        <f t="shared" si="0"/>
        <v>12</v>
      </c>
    </row>
    <row r="15" spans="1:11" x14ac:dyDescent="0.25">
      <c r="B15" s="27"/>
      <c r="C15" s="28"/>
      <c r="G15" s="44">
        <v>7</v>
      </c>
      <c r="H15" s="29">
        <v>6</v>
      </c>
      <c r="I15" s="30" t="s">
        <v>43</v>
      </c>
      <c r="J15" s="32">
        <f t="shared" si="0"/>
        <v>1</v>
      </c>
    </row>
    <row r="16" spans="1:11" x14ac:dyDescent="0.25">
      <c r="B16" s="27"/>
      <c r="C16" s="28"/>
      <c r="G16" s="44">
        <v>8</v>
      </c>
      <c r="H16" s="29">
        <v>7</v>
      </c>
      <c r="I16" s="30" t="s">
        <v>43</v>
      </c>
      <c r="J16" s="32">
        <f t="shared" si="0"/>
        <v>2</v>
      </c>
    </row>
    <row r="17" spans="2:10" x14ac:dyDescent="0.25">
      <c r="B17" s="27"/>
      <c r="C17" s="28"/>
      <c r="G17" s="44">
        <v>9</v>
      </c>
      <c r="H17" s="29">
        <v>8</v>
      </c>
      <c r="I17" s="30" t="s">
        <v>43</v>
      </c>
      <c r="J17" s="32">
        <f t="shared" si="0"/>
        <v>3</v>
      </c>
    </row>
    <row r="18" spans="2:10" x14ac:dyDescent="0.25">
      <c r="B18" s="27"/>
      <c r="C18" s="28"/>
      <c r="G18" s="44">
        <v>10</v>
      </c>
      <c r="H18" s="29">
        <v>9</v>
      </c>
      <c r="I18" s="30" t="s">
        <v>43</v>
      </c>
      <c r="J18" s="32">
        <f t="shared" si="0"/>
        <v>4</v>
      </c>
    </row>
    <row r="19" spans="2:10" x14ac:dyDescent="0.25">
      <c r="B19" s="27"/>
      <c r="C19" s="28"/>
      <c r="G19" s="44">
        <v>11</v>
      </c>
      <c r="H19" s="29">
        <v>10</v>
      </c>
      <c r="I19" s="30" t="s">
        <v>43</v>
      </c>
      <c r="J19" s="32">
        <f t="shared" si="0"/>
        <v>5</v>
      </c>
    </row>
    <row r="20" spans="2:10" x14ac:dyDescent="0.25">
      <c r="B20" s="27"/>
      <c r="C20" s="28"/>
      <c r="G20" s="44">
        <v>12</v>
      </c>
      <c r="H20" s="29">
        <v>11</v>
      </c>
      <c r="I20" s="30" t="s">
        <v>43</v>
      </c>
      <c r="J20" s="32">
        <f t="shared" si="0"/>
        <v>6</v>
      </c>
    </row>
    <row r="21" spans="2:10" ht="12.65" customHeight="1" x14ac:dyDescent="0.25">
      <c r="B21" s="27"/>
      <c r="C21" s="28"/>
      <c r="G21" s="29"/>
      <c r="H21" s="29"/>
      <c r="I21" s="31"/>
    </row>
    <row r="22" spans="2:10" ht="12.65" customHeight="1" x14ac:dyDescent="0.25">
      <c r="B22" s="27"/>
      <c r="C22" s="28"/>
      <c r="G22" s="29"/>
      <c r="H22" s="29"/>
      <c r="I22" s="31"/>
    </row>
    <row r="23" spans="2:10" x14ac:dyDescent="0.25">
      <c r="B23" s="27"/>
      <c r="C23" s="28"/>
      <c r="G23" s="40"/>
      <c r="H23" s="41"/>
      <c r="I23" s="42"/>
      <c r="J23" s="42"/>
    </row>
    <row r="24" spans="2:10" x14ac:dyDescent="0.25">
      <c r="B24" s="27"/>
      <c r="C24" s="28"/>
      <c r="G24" s="40"/>
      <c r="H24" s="41"/>
      <c r="I24" s="42"/>
      <c r="J24" s="42"/>
    </row>
    <row r="25" spans="2:10" x14ac:dyDescent="0.25">
      <c r="B25" s="27"/>
      <c r="C25" s="28"/>
      <c r="G25" s="29"/>
      <c r="H25" s="29"/>
      <c r="I25" s="30"/>
      <c r="J25" s="32"/>
    </row>
    <row r="26" spans="2:10" x14ac:dyDescent="0.25">
      <c r="B26" s="27"/>
      <c r="C26" s="28"/>
      <c r="G26" s="29"/>
      <c r="H26" s="29"/>
      <c r="I26" s="30"/>
      <c r="J26" s="32"/>
    </row>
    <row r="27" spans="2:10" x14ac:dyDescent="0.25">
      <c r="B27" s="27"/>
      <c r="C27" s="28"/>
      <c r="G27" s="29"/>
      <c r="H27" s="29"/>
      <c r="I27" s="30"/>
      <c r="J27" s="32"/>
    </row>
    <row r="28" spans="2:10" x14ac:dyDescent="0.25">
      <c r="B28" s="27"/>
      <c r="C28" s="28"/>
      <c r="G28" s="29"/>
      <c r="H28" s="29"/>
      <c r="I28" s="30"/>
      <c r="J28" s="32"/>
    </row>
    <row r="29" spans="2:10" x14ac:dyDescent="0.25">
      <c r="B29" s="27"/>
      <c r="C29" s="28"/>
      <c r="G29" s="70" t="str">
        <f>IF(CSSumOfPasted&lt;&gt;0,IF(CSAnnualized &lt;&gt; 0, I1&amp;" month total: "&amp;TEXT(E6,"$0.00")&amp;". Annualized: "&amp; TEXT(CSAnnualized, "$0.00")&amp; ".", I1&amp;" month total: "&amp;TEXT(E6,"$0.00")), "")</f>
        <v/>
      </c>
      <c r="H29" s="70"/>
      <c r="I29" s="70"/>
      <c r="J29" s="70"/>
    </row>
    <row r="30" spans="2:10" x14ac:dyDescent="0.25">
      <c r="B30" s="27"/>
      <c r="C30" s="28"/>
      <c r="G30" s="70"/>
      <c r="H30" s="70"/>
      <c r="I30" s="70"/>
      <c r="J30" s="70"/>
    </row>
    <row r="31" spans="2:10" x14ac:dyDescent="0.25">
      <c r="B31" s="27"/>
      <c r="C31" s="28"/>
      <c r="G31" s="29"/>
      <c r="H31" s="29"/>
      <c r="I31" s="30"/>
      <c r="J31" s="32"/>
    </row>
    <row r="32" spans="2:10" x14ac:dyDescent="0.25">
      <c r="B32" s="27"/>
      <c r="C32" s="28"/>
      <c r="G32" s="29"/>
      <c r="H32" s="29"/>
      <c r="I32" s="30"/>
      <c r="J32" s="32"/>
    </row>
    <row r="33" spans="2:11" x14ac:dyDescent="0.25">
      <c r="B33" s="27"/>
      <c r="C33" s="28"/>
      <c r="G33" s="29"/>
      <c r="H33" s="29"/>
      <c r="I33" s="30"/>
      <c r="J33" s="32"/>
    </row>
    <row r="34" spans="2:11" x14ac:dyDescent="0.25">
      <c r="B34" s="27"/>
      <c r="C34" s="28"/>
      <c r="G34" s="29"/>
      <c r="H34" s="29"/>
      <c r="I34" s="30"/>
      <c r="J34" s="32"/>
    </row>
    <row r="35" spans="2:11" x14ac:dyDescent="0.25">
      <c r="B35" s="27"/>
      <c r="C35" s="28"/>
      <c r="G35" s="29"/>
      <c r="H35" s="29"/>
      <c r="I35" s="30"/>
      <c r="J35" s="32"/>
    </row>
    <row r="36" spans="2:11" x14ac:dyDescent="0.25">
      <c r="B36" s="27"/>
      <c r="C36" s="28"/>
      <c r="G36" s="29"/>
      <c r="H36" s="29"/>
      <c r="I36" s="30"/>
      <c r="J36" s="32"/>
    </row>
    <row r="37" spans="2:11" x14ac:dyDescent="0.25">
      <c r="B37" s="27"/>
      <c r="C37" s="28"/>
      <c r="I37" s="54"/>
    </row>
    <row r="38" spans="2:11" x14ac:dyDescent="0.25">
      <c r="B38" s="27"/>
      <c r="C38" s="28"/>
      <c r="I38" s="54"/>
    </row>
    <row r="39" spans="2:11" x14ac:dyDescent="0.25">
      <c r="B39" s="27"/>
      <c r="C39" s="28"/>
    </row>
    <row r="44" spans="2:11" x14ac:dyDescent="0.25">
      <c r="G44" s="34"/>
      <c r="H44" s="34"/>
      <c r="I44" s="34"/>
      <c r="J44" s="34"/>
      <c r="K44" s="34"/>
    </row>
    <row r="45" spans="2:11" x14ac:dyDescent="0.25">
      <c r="G45" s="34"/>
      <c r="H45" s="34"/>
      <c r="I45" s="34"/>
      <c r="J45" s="34"/>
      <c r="K45" s="34"/>
    </row>
  </sheetData>
  <mergeCells count="7">
    <mergeCell ref="G29:J30"/>
    <mergeCell ref="G1:H1"/>
    <mergeCell ref="G3:J3"/>
    <mergeCell ref="G4:J4"/>
    <mergeCell ref="G5:J5"/>
    <mergeCell ref="H8:J8"/>
    <mergeCell ref="G7:G8"/>
  </mergeCells>
  <conditionalFormatting sqref="E9">
    <cfRule type="cellIs" dxfId="0" priority="1" operator="notEqual">
      <formula>""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165100</xdr:colOff>
                    <xdr:row>21</xdr:row>
                    <xdr:rowOff>146050</xdr:rowOff>
                  </from>
                  <to>
                    <xdr:col>9</xdr:col>
                    <xdr:colOff>234950</xdr:colOff>
                    <xdr:row>23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ResetCS">
                <anchor>
                  <from>
                    <xdr:col>6</xdr:col>
                    <xdr:colOff>152400</xdr:colOff>
                    <xdr:row>24</xdr:row>
                    <xdr:rowOff>88900</xdr:rowOff>
                  </from>
                  <to>
                    <xdr:col>9</xdr:col>
                    <xdr:colOff>222250</xdr:colOff>
                    <xdr:row>26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E26"/>
  <sheetViews>
    <sheetView workbookViewId="0">
      <selection activeCell="A4" sqref="A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5" x14ac:dyDescent="0.25">
      <c r="A1" t="s">
        <v>44</v>
      </c>
      <c r="D1" t="s">
        <v>44</v>
      </c>
    </row>
    <row r="2" spans="1:5" x14ac:dyDescent="0.25">
      <c r="C2" s="20"/>
    </row>
    <row r="3" spans="1:5" x14ac:dyDescent="0.25">
      <c r="C3" s="20"/>
    </row>
    <row r="4" spans="1:5" x14ac:dyDescent="0.25">
      <c r="A4" s="54" t="s">
        <v>45</v>
      </c>
      <c r="C4" s="20"/>
      <c r="D4" s="54" t="s">
        <v>45</v>
      </c>
    </row>
    <row r="6" spans="1:5" x14ac:dyDescent="0.25">
      <c r="A6" t="s">
        <v>46</v>
      </c>
      <c r="B6" s="21"/>
      <c r="D6" t="s">
        <v>46</v>
      </c>
      <c r="E6" s="21"/>
    </row>
    <row r="7" spans="1:5" x14ac:dyDescent="0.25">
      <c r="A7" t="s">
        <v>47</v>
      </c>
      <c r="B7" s="23"/>
      <c r="D7" t="s">
        <v>47</v>
      </c>
      <c r="E7" s="23"/>
    </row>
    <row r="8" spans="1:5" x14ac:dyDescent="0.25">
      <c r="A8" t="s">
        <v>48</v>
      </c>
      <c r="B8" s="24"/>
      <c r="D8" t="s">
        <v>48</v>
      </c>
      <c r="E8" s="24"/>
    </row>
    <row r="10" spans="1:5" x14ac:dyDescent="0.25">
      <c r="A10" t="s">
        <v>49</v>
      </c>
      <c r="B10" s="22" t="str">
        <f>IF(COUNTA(B7:B8) = 2, B8/B7, "")</f>
        <v/>
      </c>
      <c r="D10" t="s">
        <v>49</v>
      </c>
      <c r="E10" s="22" t="str">
        <f>IF(COUNTA(E7:E8) = 2, E8/E7, "")</f>
        <v/>
      </c>
    </row>
    <row r="11" spans="1:5" x14ac:dyDescent="0.25">
      <c r="A11" t="s">
        <v>50</v>
      </c>
      <c r="B11" s="21" t="str">
        <f>IF(B10 &lt;&gt; "", B6+(B10*7), "")</f>
        <v/>
      </c>
      <c r="D11" t="s">
        <v>50</v>
      </c>
      <c r="E11" s="21" t="str">
        <f>IF(E10 &lt;&gt; "", E6+(E10*7), "")</f>
        <v/>
      </c>
    </row>
    <row r="25" spans="1:5" x14ac:dyDescent="0.25">
      <c r="A25" s="65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65"/>
      <c r="C25" s="65"/>
      <c r="D25" s="65"/>
      <c r="E25" s="65"/>
    </row>
    <row r="26" spans="1:5" x14ac:dyDescent="0.25">
      <c r="A26" s="65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65"/>
      <c r="C26" s="65"/>
      <c r="D26" s="65"/>
      <c r="E26" s="65"/>
    </row>
  </sheetData>
  <mergeCells count="2">
    <mergeCell ref="A25:E25"/>
    <mergeCell ref="A26:E26"/>
  </mergeCells>
  <pageMargins left="0.7" right="0.7" top="0.75" bottom="0.75" header="0.3" footer="0.3"/>
  <ignoredErrors>
    <ignoredError sqref="B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3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4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5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6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7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3"/>
  <sheetViews>
    <sheetView zoomScaleNormal="100" workbookViewId="0">
      <selection activeCell="B3" sqref="B3:D3"/>
    </sheetView>
  </sheetViews>
  <sheetFormatPr defaultRowHeight="12.5" x14ac:dyDescent="0.25"/>
  <cols>
    <col min="1" max="1" width="14.1796875" customWidth="1"/>
    <col min="2" max="2" width="12.90625" customWidth="1"/>
    <col min="3" max="3" width="11.1796875" customWidth="1"/>
    <col min="4" max="4" width="12.36328125" customWidth="1"/>
    <col min="5" max="5" width="10.26953125" customWidth="1"/>
  </cols>
  <sheetData>
    <row r="1" spans="2:4" x14ac:dyDescent="0.25">
      <c r="B1" s="72" t="s">
        <v>31</v>
      </c>
      <c r="C1" s="72"/>
      <c r="D1" s="72"/>
    </row>
    <row r="2" spans="2:4" x14ac:dyDescent="0.25">
      <c r="D2" s="9"/>
    </row>
    <row r="3" spans="2:4" x14ac:dyDescent="0.25">
      <c r="B3" s="72" t="s">
        <v>32</v>
      </c>
      <c r="C3" s="72"/>
      <c r="D3" s="72"/>
    </row>
    <row r="4" spans="2:4" x14ac:dyDescent="0.25">
      <c r="D4" s="9"/>
    </row>
    <row r="5" spans="2:4" x14ac:dyDescent="0.25">
      <c r="B5" s="77" t="s">
        <v>33</v>
      </c>
      <c r="C5" s="78"/>
      <c r="D5" s="10">
        <v>42005</v>
      </c>
    </row>
    <row r="6" spans="2:4" x14ac:dyDescent="0.25">
      <c r="D6" s="9"/>
    </row>
    <row r="7" spans="2:4" x14ac:dyDescent="0.25">
      <c r="B7" s="77" t="s">
        <v>34</v>
      </c>
      <c r="C7" s="78"/>
      <c r="D7" s="11"/>
    </row>
    <row r="8" spans="2:4" x14ac:dyDescent="0.25">
      <c r="D8" s="9"/>
    </row>
    <row r="9" spans="2:4" x14ac:dyDescent="0.25">
      <c r="B9" s="77" t="s">
        <v>35</v>
      </c>
      <c r="C9" s="78"/>
      <c r="D9" s="12" t="str">
        <f>IF(D7&lt;&gt;"", SUM(D7/ROUND(ROUNDDOWN(DATEDIF(DATE(YEAR(D5),1,1),D5,"d")/14+1,0),2)*26)*IF(D39 &lt;&gt;"",D39, 1)*IF(D36&lt;&gt;"", D36, 1), "")</f>
        <v/>
      </c>
    </row>
    <row r="10" spans="2:4" x14ac:dyDescent="0.25">
      <c r="C10" s="9"/>
    </row>
    <row r="17" spans="1:7" x14ac:dyDescent="0.25">
      <c r="C17" s="13"/>
    </row>
    <row r="18" spans="1:7" x14ac:dyDescent="0.25">
      <c r="A18" s="4" t="s">
        <v>7</v>
      </c>
      <c r="B18" s="4" t="s">
        <v>8</v>
      </c>
      <c r="C18" s="21" t="s">
        <v>9</v>
      </c>
      <c r="D18" s="4" t="s">
        <v>10</v>
      </c>
      <c r="E18" s="4" t="s">
        <v>11</v>
      </c>
    </row>
    <row r="19" spans="1:7" x14ac:dyDescent="0.25">
      <c r="A19" s="5" t="s">
        <v>12</v>
      </c>
      <c r="B19" s="55"/>
      <c r="C19" s="55"/>
      <c r="D19" s="55"/>
      <c r="E19" s="55" t="str">
        <f>IF(COUNTA(B19:D19),SUM(B19*26+C19*12+D19*24), "")</f>
        <v/>
      </c>
    </row>
    <row r="20" spans="1:7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3" x14ac:dyDescent="0.3">
      <c r="A25" s="69" t="str">
        <f>IF(B3&lt;&gt;"Name - Employer",_xlfn.TEXTJOIN(" ",TRUE,B3&amp;": YTD as of "&amp;TEXT(D5,"m/d/yy")&amp;": $"&amp;TEXT(D7,"0.00")&amp;"; annual @ "&amp;TEXT(D9,"0.00"),B41,B43),"")</f>
        <v/>
      </c>
      <c r="B25" s="69"/>
      <c r="C25" s="69"/>
      <c r="D25" s="69"/>
      <c r="E25" s="69"/>
      <c r="F25" s="69"/>
      <c r="G25" s="69"/>
    </row>
    <row r="26" spans="1:7" ht="13" x14ac:dyDescent="0.3">
      <c r="A26" s="69" t="str">
        <f>(IF(B19, "Medical: BW $" &amp; TEXT(B19,"0.00") &amp; ", ", "") &amp; IF(C19, "Medical: MO $" &amp; TEXT(C19,"0.00") &amp; ", ", "") &amp; IF(D19, "Medical: SM $" &amp; TEXT(D19,"0.00") &amp; ", ", "") &amp; IF(B20, "Dental: BW $" &amp; TEXT(B20,"0.00") &amp; ", ", "") &amp; IF(C20, "Dental: MO $" &amp; TEXT(C20,"0.00") &amp; ", ", "") &amp; IF(D20, "Dental: SM $" &amp; TEXT(D20,"0.00") &amp; ", ", "") &amp; IF(B21, "Vision: BW $" &amp; TEXT(B21,"0.00") &amp; ", ", "") &amp; IF(C21, "Vision: MO $" &amp; TEXT(C21,"0.00") &amp; ", ", "") &amp; IF(D21, "Vision: SM $" &amp; TEXT(D21,"0.00") &amp; ", ", "") &amp; IF(B22, "CS Paid: BW $" &amp; TEXT(B22,"0.00") &amp; ", ", "") &amp; IF(C22, "CS Paid: MO $" &amp; TEXT(C22,"0.00") &amp; ", ", "") &amp; IF(D22, "CS Paid: SM $" &amp; TEXT(D22,"0.00") &amp; ", ", "") &amp; IF(B23, "SS Paid: BW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6" s="69"/>
      <c r="C26" s="69"/>
      <c r="D26" s="69"/>
      <c r="E26" s="69"/>
      <c r="F26" s="69"/>
      <c r="G26" s="69"/>
    </row>
    <row r="27" spans="1:7" x14ac:dyDescent="0.25">
      <c r="A27" s="19" t="str">
        <f>IF(DATEDIF(DATE(YEAR(D5),1,1),D5,"d")/14+1 &gt; 26.999, ROUNDDOWN(DATEDIF(DATE(YEAR(D5),1,1),D5,"d")/14+1,0) &amp; " paydates this year. Use YTD from paystub; spreadsheet will be inaccurate", "")</f>
        <v/>
      </c>
    </row>
    <row r="28" spans="1:7" x14ac:dyDescent="0.25">
      <c r="A28" s="19"/>
    </row>
    <row r="35" spans="1:4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4" x14ac:dyDescent="0.25">
      <c r="A36" t="s">
        <v>21</v>
      </c>
      <c r="D36" s="18" t="str">
        <f>IF(COUNTA(B36),B36/52,IF(COUNTA(C36),C36/12,""))</f>
        <v/>
      </c>
    </row>
    <row r="38" spans="1:4" x14ac:dyDescent="0.25">
      <c r="A38" t="s">
        <v>23</v>
      </c>
      <c r="B38" s="17" t="s">
        <v>24</v>
      </c>
      <c r="C38" s="17" t="s">
        <v>25</v>
      </c>
      <c r="D38" s="17" t="s">
        <v>20</v>
      </c>
    </row>
    <row r="39" spans="1:4" x14ac:dyDescent="0.25">
      <c r="A39" t="s">
        <v>21</v>
      </c>
      <c r="B39" s="16"/>
      <c r="C39" s="16"/>
      <c r="D39" s="18" t="str">
        <f>IF(COUNTA(B39, C39)=2, (1-((DATEDIF(B39,C39,"d")+1)/365)), "")</f>
        <v/>
      </c>
    </row>
    <row r="41" spans="1:4" x14ac:dyDescent="0.25">
      <c r="A41" t="s">
        <v>26</v>
      </c>
      <c r="B41" s="65" t="str">
        <f>IF(D36&lt;&gt;"",IF(COUNTA(B36),"(contract: "&amp; B36 &amp;"/52 weeks)","(contract: "&amp;C36&amp;"/12 months)"),"")</f>
        <v/>
      </c>
      <c r="C41" s="65"/>
      <c r="D41" s="65"/>
    </row>
    <row r="43" spans="1:4" x14ac:dyDescent="0.25">
      <c r="A43" t="s">
        <v>28</v>
      </c>
      <c r="B43" s="65" t="str">
        <f>IF(D39&lt;&gt;"","(Leave: "&amp;(DATEDIF(B39,C39,"d")+1)&amp;" days)","")</f>
        <v/>
      </c>
      <c r="C43" s="65"/>
      <c r="D43" s="65"/>
    </row>
  </sheetData>
  <mergeCells count="9">
    <mergeCell ref="A25:G25"/>
    <mergeCell ref="A26:G26"/>
    <mergeCell ref="B43:D43"/>
    <mergeCell ref="B41:D41"/>
    <mergeCell ref="B1:D1"/>
    <mergeCell ref="B3:D3"/>
    <mergeCell ref="B5:C5"/>
    <mergeCell ref="B7:C7"/>
    <mergeCell ref="B9:C9"/>
  </mergeCells>
  <dataValidations count="1">
    <dataValidation type="list" allowBlank="1" showInputMessage="1" showErrorMessage="1" sqref="C18" xr:uid="{D5396AE1-012C-4F0A-BDAE-6BCB732DDDB6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679450</xdr:colOff>
                    <xdr:row>29</xdr:row>
                    <xdr:rowOff>69850</xdr:rowOff>
                  </from>
                  <to>
                    <xdr:col>5</xdr:col>
                    <xdr:colOff>342900</xdr:colOff>
                    <xdr:row>31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12700</xdr:rowOff>
                  </from>
                  <to>
                    <xdr:col>1</xdr:col>
                    <xdr:colOff>311150</xdr:colOff>
                    <xdr:row>30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152400</xdr:rowOff>
                  </from>
                  <to>
                    <xdr:col>1</xdr:col>
                    <xdr:colOff>311150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603250</xdr:colOff>
                    <xdr:row>30</xdr:row>
                    <xdr:rowOff>152400</xdr:rowOff>
                  </from>
                  <to>
                    <xdr:col>3</xdr:col>
                    <xdr:colOff>165100</xdr:colOff>
                    <xdr:row>32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43"/>
  <sheetViews>
    <sheetView zoomScaleNormal="100" workbookViewId="0">
      <selection activeCell="B3" sqref="B3:D3"/>
    </sheetView>
  </sheetViews>
  <sheetFormatPr defaultRowHeight="12.5" x14ac:dyDescent="0.25"/>
  <cols>
    <col min="1" max="1" width="14.1796875" customWidth="1"/>
    <col min="2" max="2" width="12.90625" customWidth="1"/>
    <col min="3" max="3" width="11.1796875" customWidth="1"/>
    <col min="4" max="4" width="12.36328125" customWidth="1"/>
    <col min="5" max="5" width="10.26953125" customWidth="1"/>
  </cols>
  <sheetData>
    <row r="1" spans="2:6" x14ac:dyDescent="0.25">
      <c r="B1" s="72" t="s">
        <v>36</v>
      </c>
      <c r="C1" s="72"/>
      <c r="D1" s="72"/>
    </row>
    <row r="2" spans="2:6" x14ac:dyDescent="0.25">
      <c r="D2" s="9"/>
      <c r="F2" s="19"/>
    </row>
    <row r="3" spans="2:6" x14ac:dyDescent="0.25">
      <c r="B3" s="72" t="s">
        <v>32</v>
      </c>
      <c r="C3" s="72"/>
      <c r="D3" s="72"/>
      <c r="F3" s="19"/>
    </row>
    <row r="4" spans="2:6" x14ac:dyDescent="0.25">
      <c r="D4" s="9"/>
    </row>
    <row r="5" spans="2:6" x14ac:dyDescent="0.25">
      <c r="B5" s="77" t="s">
        <v>33</v>
      </c>
      <c r="C5" s="78"/>
      <c r="D5" s="10">
        <v>42005</v>
      </c>
    </row>
    <row r="6" spans="2:6" x14ac:dyDescent="0.25">
      <c r="D6" s="9"/>
    </row>
    <row r="7" spans="2:6" x14ac:dyDescent="0.25">
      <c r="B7" s="77" t="s">
        <v>34</v>
      </c>
      <c r="C7" s="78"/>
      <c r="D7" s="11"/>
    </row>
    <row r="8" spans="2:6" x14ac:dyDescent="0.25">
      <c r="D8" s="9"/>
    </row>
    <row r="9" spans="2:6" x14ac:dyDescent="0.25">
      <c r="B9" s="77" t="s">
        <v>35</v>
      </c>
      <c r="C9" s="78"/>
      <c r="D9" s="12" t="str">
        <f>IF(D7&lt;&gt;"", SUM(D7/(ROUNDDOWN(DATEDIF(DATE(YEAR(D5),1,1),D5,"d")/7+1,0))*52)*IF(D39 &lt;&gt;"",D39, 1)*IF(D36&lt;&gt;"", D36, 1), "")</f>
        <v/>
      </c>
    </row>
    <row r="10" spans="2:6" x14ac:dyDescent="0.25">
      <c r="C10" s="9"/>
    </row>
    <row r="17" spans="1:7" x14ac:dyDescent="0.25">
      <c r="C17" s="13"/>
    </row>
    <row r="18" spans="1:7" x14ac:dyDescent="0.25">
      <c r="A18" s="4" t="s">
        <v>7</v>
      </c>
      <c r="B18" s="4" t="s">
        <v>30</v>
      </c>
      <c r="C18" s="21" t="s">
        <v>9</v>
      </c>
      <c r="D18" s="4" t="s">
        <v>10</v>
      </c>
      <c r="E18" s="4" t="s">
        <v>11</v>
      </c>
    </row>
    <row r="19" spans="1:7" x14ac:dyDescent="0.25">
      <c r="A19" s="5" t="s">
        <v>12</v>
      </c>
      <c r="B19" s="55"/>
      <c r="C19" s="55"/>
      <c r="D19" s="55"/>
      <c r="E19" s="55" t="str">
        <f>IF(COUNTA(B19:D19),SUM(B19*52+C19*12+D19*24), "")</f>
        <v/>
      </c>
    </row>
    <row r="20" spans="1:7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3" x14ac:dyDescent="0.3">
      <c r="A25" s="69" t="str">
        <f>IF(B3&lt;&gt;"Name - Employer",_xlfn.TEXTJOIN(" ",TRUE,B3&amp;": YTD as of "&amp;TEXT(D5,"m/d/yy")&amp;": $"&amp;TEXT(D7,"0.00")&amp;"; annual @ "&amp;TEXT(D9,"0.00"),B41,B43),"")</f>
        <v/>
      </c>
      <c r="B25" s="69"/>
      <c r="C25" s="69"/>
      <c r="D25" s="69"/>
      <c r="E25" s="69"/>
      <c r="F25" s="69"/>
      <c r="G25" s="69"/>
    </row>
    <row r="26" spans="1:7" ht="13" x14ac:dyDescent="0.3">
      <c r="A26" s="69" t="str">
        <f>(IF(B19, "Medical: WK $" &amp; TEXT(B19,"0.00") &amp; ", ", "") &amp; IF(C19, "Medical: MO $" &amp; TEXT(C19,"0.00") &amp; ", ", "") &amp; IF(D19, "Medical: SM $" &amp; TEXT(D19,"0.00") &amp; ", ", "") &amp; IF(B20, "Dental: WK $" &amp; TEXT(B20,"0.00") &amp; ", ", "") &amp; IF(C20, "Dental: MO $" &amp; TEXT(C20,"0.00") &amp; ", ", "") &amp; IF(D20, "Dental: SM $" &amp; TEXT(D20,"0.00") &amp; ", ", "") &amp; IF(B21, "Vision: WK $" &amp; TEXT(B21,"0.00") &amp; ", ", "") &amp; IF(C21, "Vision: MO $" &amp; TEXT(C21,"0.00") &amp; ", ", "") &amp; IF(D21, "Vision: SM $" &amp; TEXT(D21,"0.00") &amp; ", ", "") &amp; IF(B22, "CS Paid: WK $" &amp; TEXT(B22,"0.00") &amp; ", ", "") &amp; IF(C22, "CS Paid: MO $" &amp; TEXT(C22,"0.00") &amp; ", ", "") &amp; IF(D22, "CS Paid: SM $" &amp; TEXT(D22,"0.00") &amp; ", ", "") &amp; IF(B23, "SS Paid: WK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6" s="69"/>
      <c r="C26" s="69"/>
      <c r="D26" s="69"/>
      <c r="E26" s="69"/>
      <c r="F26" s="69"/>
      <c r="G26" s="69"/>
    </row>
    <row r="27" spans="1:7" x14ac:dyDescent="0.25">
      <c r="A27" s="19"/>
    </row>
    <row r="28" spans="1:7" x14ac:dyDescent="0.25">
      <c r="A28" s="19"/>
    </row>
    <row r="35" spans="1:4" x14ac:dyDescent="0.25">
      <c r="A35" t="s">
        <v>17</v>
      </c>
      <c r="B35" s="17" t="s">
        <v>18</v>
      </c>
      <c r="C35" s="17" t="s">
        <v>19</v>
      </c>
      <c r="D35" s="17" t="s">
        <v>20</v>
      </c>
    </row>
    <row r="36" spans="1:4" x14ac:dyDescent="0.25">
      <c r="A36" t="s">
        <v>21</v>
      </c>
      <c r="D36" s="18" t="str">
        <f>IF(COUNTA(B36),B36/52,IF(COUNTA(C36),C36/12,""))</f>
        <v/>
      </c>
    </row>
    <row r="38" spans="1:4" x14ac:dyDescent="0.25">
      <c r="A38" t="s">
        <v>23</v>
      </c>
      <c r="B38" s="17" t="s">
        <v>24</v>
      </c>
      <c r="C38" s="17" t="s">
        <v>25</v>
      </c>
      <c r="D38" s="17" t="s">
        <v>20</v>
      </c>
    </row>
    <row r="39" spans="1:4" x14ac:dyDescent="0.25">
      <c r="A39" t="s">
        <v>21</v>
      </c>
      <c r="B39" s="16"/>
      <c r="C39" s="16"/>
      <c r="D39" s="18" t="str">
        <f>IF(COUNTA(B39, C39)=2, (1-((DATEDIF(B39,C39,"d")+1)/365)), "")</f>
        <v/>
      </c>
    </row>
    <row r="41" spans="1:4" x14ac:dyDescent="0.25">
      <c r="A41" t="s">
        <v>26</v>
      </c>
      <c r="B41" s="65" t="str">
        <f>IF(D36&lt;&gt;"",IF(COUNTA(B36),"(contract: "&amp; B36 &amp;"/52 weeks)","(contract: "&amp;C36&amp;"/12 months)"),"")</f>
        <v/>
      </c>
      <c r="C41" s="65"/>
      <c r="D41" s="65"/>
    </row>
    <row r="43" spans="1:4" x14ac:dyDescent="0.25">
      <c r="A43" t="s">
        <v>28</v>
      </c>
      <c r="B43" s="65" t="str">
        <f>IF(D39&lt;&gt;"","(Leave: "&amp;(DATEDIF(B39,C39,"d")+1)&amp;" days)","")</f>
        <v/>
      </c>
      <c r="C43" s="65"/>
      <c r="D43" s="65"/>
    </row>
  </sheetData>
  <mergeCells count="9">
    <mergeCell ref="A25:G25"/>
    <mergeCell ref="A26:G26"/>
    <mergeCell ref="B43:D43"/>
    <mergeCell ref="B41:D41"/>
    <mergeCell ref="B1:D1"/>
    <mergeCell ref="B3:D3"/>
    <mergeCell ref="B5:C5"/>
    <mergeCell ref="B7:C7"/>
    <mergeCell ref="B9:C9"/>
  </mergeCell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3" r:id="rId4" name="Button 13">
              <controlPr defaultSize="0" print="0" autoFill="0" autoPict="0" macro="[0]!ClearAll">
                <anchor>
                  <from>
                    <xdr:col>3</xdr:col>
                    <xdr:colOff>679450</xdr:colOff>
                    <xdr:row>29</xdr:row>
                    <xdr:rowOff>76200</xdr:rowOff>
                  </from>
                  <to>
                    <xdr:col>5</xdr:col>
                    <xdr:colOff>342900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311150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" name="Button 16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311150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CopyExpense">
                <anchor>
                  <from>
                    <xdr:col>1</xdr:col>
                    <xdr:colOff>603250</xdr:colOff>
                    <xdr:row>31</xdr:row>
                    <xdr:rowOff>0</xdr:rowOff>
                  </from>
                  <to>
                    <xdr:col>3</xdr:col>
                    <xdr:colOff>165100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3"/>
  <sheetViews>
    <sheetView zoomScaleNormal="100" workbookViewId="0">
      <selection activeCell="B3" sqref="B3:D3"/>
    </sheetView>
  </sheetViews>
  <sheetFormatPr defaultRowHeight="12.5" x14ac:dyDescent="0.25"/>
  <cols>
    <col min="1" max="5" width="14.36328125" customWidth="1"/>
  </cols>
  <sheetData>
    <row r="1" spans="2:4" x14ac:dyDescent="0.25">
      <c r="B1" s="72" t="s">
        <v>52</v>
      </c>
      <c r="C1" s="72"/>
      <c r="D1" s="72"/>
    </row>
    <row r="2" spans="2:4" x14ac:dyDescent="0.25">
      <c r="D2" s="9"/>
    </row>
    <row r="3" spans="2:4" x14ac:dyDescent="0.25">
      <c r="B3" s="72" t="s">
        <v>32</v>
      </c>
      <c r="C3" s="72"/>
      <c r="D3" s="72"/>
    </row>
    <row r="4" spans="2:4" x14ac:dyDescent="0.25">
      <c r="D4" s="9"/>
    </row>
    <row r="5" spans="2:4" x14ac:dyDescent="0.25">
      <c r="B5" s="79" t="s">
        <v>51</v>
      </c>
      <c r="C5" s="79"/>
      <c r="D5" s="21">
        <v>42005</v>
      </c>
    </row>
    <row r="6" spans="2:4" x14ac:dyDescent="0.25">
      <c r="B6" s="72"/>
      <c r="C6" s="72"/>
    </row>
    <row r="7" spans="2:4" x14ac:dyDescent="0.25">
      <c r="B7" s="79" t="s">
        <v>53</v>
      </c>
      <c r="C7" s="79"/>
      <c r="D7" s="55"/>
    </row>
    <row r="8" spans="2:4" x14ac:dyDescent="0.25">
      <c r="B8" s="72"/>
      <c r="C8" s="72"/>
    </row>
    <row r="9" spans="2:4" x14ac:dyDescent="0.25">
      <c r="B9" s="79" t="s">
        <v>54</v>
      </c>
      <c r="C9" s="79"/>
      <c r="D9" s="55"/>
    </row>
    <row r="10" spans="2:4" x14ac:dyDescent="0.25">
      <c r="B10" s="72"/>
      <c r="C10" s="72"/>
    </row>
    <row r="11" spans="2:4" x14ac:dyDescent="0.25">
      <c r="B11" s="79" t="s">
        <v>33</v>
      </c>
      <c r="C11" s="79"/>
      <c r="D11" s="21">
        <v>42005</v>
      </c>
    </row>
    <row r="12" spans="2:4" x14ac:dyDescent="0.25">
      <c r="B12" s="72"/>
      <c r="C12" s="72"/>
    </row>
    <row r="13" spans="2:4" x14ac:dyDescent="0.25">
      <c r="B13" s="79" t="s">
        <v>55</v>
      </c>
      <c r="C13" s="79"/>
      <c r="D13" s="55"/>
    </row>
    <row r="14" spans="2:4" x14ac:dyDescent="0.25">
      <c r="B14" s="72"/>
      <c r="C14" s="72"/>
    </row>
    <row r="15" spans="2:4" x14ac:dyDescent="0.25">
      <c r="B15" s="79" t="s">
        <v>35</v>
      </c>
      <c r="C15" s="79"/>
      <c r="D15" s="55" t="str">
        <f>IF(D13&lt;&gt;0, SUM((D13-(D7-D9))/(ROUNDDOWN(DATEDIF(D5,D11,"d")/14+1,0))*26)*IF(D39 &lt;&gt;"",D39, 1)*IF(D36&lt;&gt;"", D36, 1), "")</f>
        <v/>
      </c>
    </row>
    <row r="18" spans="1:7" x14ac:dyDescent="0.25">
      <c r="A18" s="4" t="s">
        <v>7</v>
      </c>
      <c r="B18" s="4" t="s">
        <v>8</v>
      </c>
      <c r="C18" s="21" t="s">
        <v>9</v>
      </c>
      <c r="D18" s="4" t="s">
        <v>10</v>
      </c>
      <c r="E18" s="4" t="s">
        <v>11</v>
      </c>
    </row>
    <row r="19" spans="1:7" x14ac:dyDescent="0.25">
      <c r="A19" s="5" t="s">
        <v>12</v>
      </c>
      <c r="B19" s="55"/>
      <c r="C19" s="55"/>
      <c r="D19" s="55"/>
      <c r="E19" s="55" t="str">
        <f>IF(COUNTA(B19:D19),SUM(B19*26+C19*12+D19*24), "")</f>
        <v/>
      </c>
    </row>
    <row r="20" spans="1:7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7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7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7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7" ht="13" x14ac:dyDescent="0.3">
      <c r="A25" s="69" t="str">
        <f>IF(B3&lt;&gt;"Name - Employer", _xlfn.TEXTJOIN(" ",TRUE,B3&amp;": YTD from "&amp;TEXT(D5,"m/d/yy")&amp;" to "&amp;TEXT(D11,"m/d/yy")&amp;": $"&amp;SUM(D13-(D7-D9))&amp;"; annual @ "&amp;TEXT(D15,"0.00"), B41, B43), "")</f>
        <v/>
      </c>
      <c r="B25" s="69"/>
      <c r="C25" s="69"/>
      <c r="D25" s="69"/>
      <c r="E25" s="69"/>
      <c r="F25" s="69"/>
    </row>
    <row r="26" spans="1:7" ht="13" x14ac:dyDescent="0.3">
      <c r="A26" s="80" t="str">
        <f>(IF(B19, "Medical: BW $" &amp; TEXT(B19,"0.00") &amp; ", ", "") &amp; IF(C19, "Medical: MO $" &amp; TEXT(C19,"0.00") &amp; ", ", "") &amp; IF(D19, "Medical: SM $" &amp; TEXT(D19,"0.00") &amp; ", ", "") &amp; IF(B20, "Dental: BW $" &amp; TEXT(B20,"0.00") &amp; ", ", "") &amp; IF(C20, "Dental: MO $" &amp; TEXT(C20,"0.00") &amp; ", ", "") &amp; IF(D20, "Dental: SM $" &amp; TEXT(D20,"0.00") &amp; ", ", "") &amp; IF(B21, "Vision: BW $" &amp; TEXT(B21,"0.00") &amp; ", ", "") &amp; IF(C21, "Vision: MO $" &amp; TEXT(C21,"0.00") &amp; ", ", "") &amp; IF(D21, "Vision: SM $" &amp; TEXT(D21,"0.00") &amp; ", ", "") &amp; IF(B22, "CS Paid: BW $" &amp; TEXT(B22,"0.00") &amp; ", ", "") &amp; IF(C22, "CS Paid: MO $" &amp; TEXT(C22,"0.00") &amp; ", ", "") &amp; IF(D22, "CS Paid: SM $" &amp; TEXT(D22,"0.00") &amp; ", ", "") &amp; IF(B23, "SS Paid: BW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6" s="80"/>
      <c r="C26" s="80"/>
      <c r="D26" s="80"/>
      <c r="E26" s="80"/>
      <c r="F26" s="80"/>
      <c r="G26" s="15"/>
    </row>
    <row r="35" spans="1:4" x14ac:dyDescent="0.25">
      <c r="A35" t="s">
        <v>17</v>
      </c>
      <c r="B35" s="17" t="s">
        <v>18</v>
      </c>
      <c r="C35" s="17" t="s">
        <v>19</v>
      </c>
      <c r="D35" s="17" t="s">
        <v>56</v>
      </c>
    </row>
    <row r="36" spans="1:4" x14ac:dyDescent="0.25">
      <c r="A36" t="s">
        <v>21</v>
      </c>
      <c r="D36" s="18" t="str">
        <f>IF(COUNTA(B36),B36/52,IF(COUNTA(C36),C36/12,""))</f>
        <v/>
      </c>
    </row>
    <row r="38" spans="1:4" x14ac:dyDescent="0.25">
      <c r="A38" t="s">
        <v>23</v>
      </c>
      <c r="B38" s="17" t="s">
        <v>24</v>
      </c>
      <c r="C38" s="17" t="s">
        <v>25</v>
      </c>
      <c r="D38" s="17" t="s">
        <v>56</v>
      </c>
    </row>
    <row r="39" spans="1:4" x14ac:dyDescent="0.25">
      <c r="A39" t="s">
        <v>21</v>
      </c>
      <c r="B39" s="16"/>
      <c r="C39" s="16"/>
      <c r="D39" s="18" t="str">
        <f>IF(COUNTA(B39, C39)=2, (1-((DATEDIF(B39,C39,"d")+1)/365)), "")</f>
        <v/>
      </c>
    </row>
    <row r="41" spans="1:4" x14ac:dyDescent="0.25">
      <c r="A41" t="s">
        <v>26</v>
      </c>
      <c r="B41" s="65" t="str">
        <f>IF(D36&lt;&gt;"",IF(COUNTA(B36),"(contract: "&amp; B36 &amp;"/52 weeks)","(contract: "&amp;C36&amp;"/12 months)"),"")</f>
        <v/>
      </c>
      <c r="C41" s="65"/>
      <c r="D41" s="65"/>
    </row>
    <row r="43" spans="1:4" x14ac:dyDescent="0.25">
      <c r="A43" t="s">
        <v>28</v>
      </c>
      <c r="B43" s="65" t="str">
        <f>IF(D39&lt;&gt;"","(Leave: "&amp;(DATEDIF(B39,C39,"d")+1)&amp;" days)","")</f>
        <v/>
      </c>
      <c r="C43" s="65"/>
      <c r="D43" s="65"/>
    </row>
  </sheetData>
  <mergeCells count="17">
    <mergeCell ref="B1:D1"/>
    <mergeCell ref="B3:D3"/>
    <mergeCell ref="B5:C5"/>
    <mergeCell ref="B6:C6"/>
    <mergeCell ref="B7:C7"/>
    <mergeCell ref="B43:D43"/>
    <mergeCell ref="B8:C8"/>
    <mergeCell ref="B9:C9"/>
    <mergeCell ref="B10:C10"/>
    <mergeCell ref="B11:C11"/>
    <mergeCell ref="B41:D41"/>
    <mergeCell ref="A25:F25"/>
    <mergeCell ref="A26:F26"/>
    <mergeCell ref="B12:C12"/>
    <mergeCell ref="B13:C13"/>
    <mergeCell ref="B14:C14"/>
    <mergeCell ref="B15:C15"/>
  </mergeCells>
  <dataValidations count="1">
    <dataValidation type="list" allowBlank="1" showInputMessage="1" showErrorMessage="1" sqref="C18" xr:uid="{0A111D23-7EA8-4833-947C-D8A7BD7421CC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342900</xdr:colOff>
                    <xdr:row>29</xdr:row>
                    <xdr:rowOff>76200</xdr:rowOff>
                  </from>
                  <to>
                    <xdr:col>4</xdr:col>
                    <xdr:colOff>584200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298450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590550</xdr:colOff>
                    <xdr:row>31</xdr:row>
                    <xdr:rowOff>0</xdr:rowOff>
                  </from>
                  <to>
                    <xdr:col>2</xdr:col>
                    <xdr:colOff>831850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ABFBE-9670-42F5-98BF-07680ADB408A}">
  <sheetPr codeName="Sheet9"/>
  <dimension ref="A1:F43"/>
  <sheetViews>
    <sheetView zoomScaleNormal="100" workbookViewId="0">
      <selection activeCell="B3" sqref="B3:D3"/>
    </sheetView>
  </sheetViews>
  <sheetFormatPr defaultRowHeight="12.5" x14ac:dyDescent="0.25"/>
  <cols>
    <col min="1" max="5" width="14.36328125" customWidth="1"/>
  </cols>
  <sheetData>
    <row r="1" spans="2:4" x14ac:dyDescent="0.25">
      <c r="B1" s="72" t="s">
        <v>57</v>
      </c>
      <c r="C1" s="72"/>
      <c r="D1" s="72"/>
    </row>
    <row r="2" spans="2:4" x14ac:dyDescent="0.25">
      <c r="D2" s="9"/>
    </row>
    <row r="3" spans="2:4" x14ac:dyDescent="0.25">
      <c r="B3" s="72" t="s">
        <v>32</v>
      </c>
      <c r="C3" s="72"/>
      <c r="D3" s="72"/>
    </row>
    <row r="4" spans="2:4" x14ac:dyDescent="0.25">
      <c r="D4" s="9"/>
    </row>
    <row r="5" spans="2:4" x14ac:dyDescent="0.25">
      <c r="B5" s="79" t="s">
        <v>51</v>
      </c>
      <c r="C5" s="79"/>
      <c r="D5" s="21">
        <v>42005</v>
      </c>
    </row>
    <row r="6" spans="2:4" x14ac:dyDescent="0.25">
      <c r="B6" s="72"/>
      <c r="C6" s="72"/>
    </row>
    <row r="7" spans="2:4" x14ac:dyDescent="0.25">
      <c r="B7" s="79" t="s">
        <v>53</v>
      </c>
      <c r="C7" s="79"/>
      <c r="D7" s="55"/>
    </row>
    <row r="8" spans="2:4" x14ac:dyDescent="0.25">
      <c r="B8" s="72"/>
      <c r="C8" s="72"/>
    </row>
    <row r="9" spans="2:4" x14ac:dyDescent="0.25">
      <c r="B9" s="79" t="s">
        <v>54</v>
      </c>
      <c r="C9" s="79"/>
      <c r="D9" s="55"/>
    </row>
    <row r="10" spans="2:4" x14ac:dyDescent="0.25">
      <c r="B10" s="72"/>
      <c r="C10" s="72"/>
    </row>
    <row r="11" spans="2:4" x14ac:dyDescent="0.25">
      <c r="B11" s="79" t="s">
        <v>33</v>
      </c>
      <c r="C11" s="79"/>
      <c r="D11" s="21">
        <v>42005</v>
      </c>
    </row>
    <row r="12" spans="2:4" x14ac:dyDescent="0.25">
      <c r="B12" s="72"/>
      <c r="C12" s="72"/>
    </row>
    <row r="13" spans="2:4" x14ac:dyDescent="0.25">
      <c r="B13" s="79" t="s">
        <v>55</v>
      </c>
      <c r="C13" s="79"/>
      <c r="D13" s="55"/>
    </row>
    <row r="14" spans="2:4" x14ac:dyDescent="0.25">
      <c r="B14" s="72"/>
      <c r="C14" s="72"/>
    </row>
    <row r="15" spans="2:4" x14ac:dyDescent="0.25">
      <c r="B15" s="79" t="s">
        <v>35</v>
      </c>
      <c r="C15" s="79"/>
      <c r="D15" s="55" t="str">
        <f>IF(D13&lt;&gt;0, SUM((D13-(D7-D9))/(ROUNDDOWN(DATEDIF(D5,D11,"d")/7+1,0))*52)*IF(D39 &lt;&gt;"",D39, 1)*IF(D36&lt;&gt;"", D36, 1), "")</f>
        <v/>
      </c>
    </row>
    <row r="18" spans="1:6" x14ac:dyDescent="0.25">
      <c r="A18" s="4" t="s">
        <v>7</v>
      </c>
      <c r="B18" s="4" t="s">
        <v>30</v>
      </c>
      <c r="C18" s="21" t="s">
        <v>9</v>
      </c>
      <c r="D18" s="4" t="s">
        <v>10</v>
      </c>
      <c r="E18" s="4" t="s">
        <v>11</v>
      </c>
    </row>
    <row r="19" spans="1:6" x14ac:dyDescent="0.25">
      <c r="A19" s="5" t="s">
        <v>12</v>
      </c>
      <c r="B19" s="55"/>
      <c r="C19" s="55"/>
      <c r="D19" s="55"/>
      <c r="E19" s="55" t="str">
        <f>IF(COUNTA(B19:D19),SUM(B19*52+C19*12+D19*24), "")</f>
        <v/>
      </c>
    </row>
    <row r="20" spans="1:6" x14ac:dyDescent="0.25">
      <c r="A20" s="4" t="s">
        <v>13</v>
      </c>
      <c r="B20" s="55"/>
      <c r="C20" s="55"/>
      <c r="D20" s="55"/>
      <c r="E20" s="55" t="str">
        <f>IF(COUNTA(B20:D20),SUM(B20*26+C20*12+D20*24), "")</f>
        <v/>
      </c>
    </row>
    <row r="21" spans="1:6" x14ac:dyDescent="0.25">
      <c r="A21" s="4" t="s">
        <v>14</v>
      </c>
      <c r="B21" s="55"/>
      <c r="C21" s="55"/>
      <c r="D21" s="55"/>
      <c r="E21" s="55" t="str">
        <f>IF(COUNTA(B21:D21),SUM(B21*26+C21*12+D21*24), "")</f>
        <v/>
      </c>
    </row>
    <row r="22" spans="1:6" x14ac:dyDescent="0.25">
      <c r="A22" s="4" t="s">
        <v>15</v>
      </c>
      <c r="B22" s="55"/>
      <c r="C22" s="55"/>
      <c r="D22" s="55"/>
      <c r="E22" s="55" t="str">
        <f>IF(COUNTA(B22:D22),SUM(B22*26+C22*12+D22*24), "")</f>
        <v/>
      </c>
    </row>
    <row r="23" spans="1:6" x14ac:dyDescent="0.25">
      <c r="A23" s="4" t="s">
        <v>16</v>
      </c>
      <c r="B23" s="55"/>
      <c r="C23" s="55"/>
      <c r="D23" s="55"/>
      <c r="E23" s="55" t="str">
        <f>IF(COUNTA(B23:D23),SUM(B23*26+C23*12+D23*24), "")</f>
        <v/>
      </c>
    </row>
    <row r="25" spans="1:6" ht="13" x14ac:dyDescent="0.3">
      <c r="A25" s="69" t="str">
        <f>IF(B3&lt;&gt;"Name - Employer", _xlfn.TEXTJOIN(" ",TRUE,B3&amp;": YTD from "&amp;TEXT(D5,"m/d/yy")&amp;" to "&amp;TEXT(D11,"m/d/yy")&amp;": $"&amp;SUM(D13-(D7-D9))&amp;"; annual @ "&amp;TEXT(D15,"0.00"), B41, B43), "")</f>
        <v/>
      </c>
      <c r="B25" s="69"/>
      <c r="C25" s="69"/>
      <c r="D25" s="69"/>
      <c r="E25" s="69"/>
      <c r="F25" s="69"/>
    </row>
    <row r="26" spans="1:6" ht="13" x14ac:dyDescent="0.3">
      <c r="A26" s="69" t="str">
        <f>(IF(B19, "Medical: WK $" &amp; TEXT(B19,"0.00") &amp; ", ", "") &amp; IF(C19, "Medical: MO $" &amp; TEXT(C19,"0.00") &amp; ", ", "") &amp; IF(D19, "Medical: SM $" &amp; TEXT(D19,"0.00") &amp; ", ", "") &amp; IF(B20, "Dental: WK $" &amp; TEXT(B20,"0.00") &amp; ", ", "") &amp; IF(C20, "Dental: MO $" &amp; TEXT(C20,"0.00") &amp; ", ", "") &amp; IF(D20, "Dental: SM $" &amp; TEXT(D20,"0.00") &amp; ", ", "") &amp; IF(B21, "Vision: WK $" &amp; TEXT(B21,"0.00") &amp; ", ", "") &amp; IF(C21, "Vision: MO $" &amp; TEXT(C21,"0.00") &amp; ", ", "") &amp; IF(D21, "Vision: SM $" &amp; TEXT(D21,"0.00") &amp; ", ", "") &amp; IF(B22, "CS Paid: WK $" &amp; TEXT(B22,"0.00") &amp; ", ", "") &amp; IF(C22, "CS Paid: MO $" &amp; TEXT(C22,"0.00") &amp; ", ", "") &amp; IF(D22, "CS Paid: SM $" &amp; TEXT(D22,"0.00") &amp; ", ", "") &amp; IF(B23, "SS Paid: WK $" &amp; TEXT(B23,"0.00") &amp; ", ", "") &amp; IF(C23, "SS Paid: MO $" &amp; TEXT(C23,"0.00") &amp; ", ", "") &amp; IF(D23, "SS Paid: SM $" &amp; TEXT(D23,"0.00") &amp; ", ", "") &amp; IF(SUM(E19:E23) &gt; 0, "annual @ " &amp; TEXT(SUM(E19:E23),"0.00"), ""))</f>
        <v/>
      </c>
      <c r="B26" s="69"/>
      <c r="C26" s="69"/>
      <c r="D26" s="69"/>
      <c r="E26" s="69"/>
      <c r="F26" s="69"/>
    </row>
    <row r="35" spans="1:4" x14ac:dyDescent="0.25">
      <c r="A35" t="s">
        <v>17</v>
      </c>
      <c r="B35" s="17" t="s">
        <v>18</v>
      </c>
      <c r="C35" s="17" t="s">
        <v>19</v>
      </c>
      <c r="D35" s="17" t="s">
        <v>56</v>
      </c>
    </row>
    <row r="36" spans="1:4" x14ac:dyDescent="0.25">
      <c r="A36" t="s">
        <v>21</v>
      </c>
      <c r="D36" s="18" t="str">
        <f>IF(COUNTA(B36),B36/52,IF(COUNTA(C36),C36/12,""))</f>
        <v/>
      </c>
    </row>
    <row r="38" spans="1:4" x14ac:dyDescent="0.25">
      <c r="A38" t="s">
        <v>23</v>
      </c>
      <c r="B38" s="17" t="s">
        <v>24</v>
      </c>
      <c r="C38" s="17" t="s">
        <v>25</v>
      </c>
      <c r="D38" s="17" t="s">
        <v>56</v>
      </c>
    </row>
    <row r="39" spans="1:4" x14ac:dyDescent="0.25">
      <c r="A39" t="s">
        <v>21</v>
      </c>
      <c r="B39" s="16"/>
      <c r="C39" s="16"/>
      <c r="D39" s="18" t="str">
        <f>IF(COUNTA(B39, C39)=2, (1-((DATEDIF(B39,C39,"d")+1)/365)), "")</f>
        <v/>
      </c>
    </row>
    <row r="41" spans="1:4" x14ac:dyDescent="0.25">
      <c r="A41" t="s">
        <v>26</v>
      </c>
      <c r="B41" s="65" t="str">
        <f>IF(D36&lt;&gt;"",IF(COUNTA(B36),"(contract: "&amp; B36 &amp;"/52 weeks)","(contract: "&amp;C36&amp;"/12 months)"),"")</f>
        <v/>
      </c>
      <c r="C41" s="65"/>
      <c r="D41" s="65"/>
    </row>
    <row r="43" spans="1:4" x14ac:dyDescent="0.25">
      <c r="A43" t="s">
        <v>28</v>
      </c>
      <c r="B43" s="65" t="str">
        <f>IF(D39&lt;&gt;"","(Leave: "&amp;(DATEDIF(B39,C39,"d")+1)&amp;" days)","")</f>
        <v/>
      </c>
      <c r="C43" s="65"/>
      <c r="D43" s="65"/>
    </row>
  </sheetData>
  <mergeCells count="17">
    <mergeCell ref="B9:C9"/>
    <mergeCell ref="B41:D41"/>
    <mergeCell ref="B43:D43"/>
    <mergeCell ref="B15:C15"/>
    <mergeCell ref="B1:D1"/>
    <mergeCell ref="B3:D3"/>
    <mergeCell ref="A25:F25"/>
    <mergeCell ref="A26:F26"/>
    <mergeCell ref="B10:C10"/>
    <mergeCell ref="B11:C11"/>
    <mergeCell ref="B12:C12"/>
    <mergeCell ref="B13:C13"/>
    <mergeCell ref="B14:C14"/>
    <mergeCell ref="B5:C5"/>
    <mergeCell ref="B6:C6"/>
    <mergeCell ref="B7:C7"/>
    <mergeCell ref="B8:C8"/>
  </mergeCells>
  <dataValidations count="1">
    <dataValidation type="list" allowBlank="1" showInputMessage="1" showErrorMessage="1" sqref="C18" xr:uid="{1674253F-831A-45A6-871C-DB9BF601BBB8}">
      <formula1>"Once Monthly, Twice 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learAll">
                <anchor>
                  <from>
                    <xdr:col>3</xdr:col>
                    <xdr:colOff>342900</xdr:colOff>
                    <xdr:row>29</xdr:row>
                    <xdr:rowOff>76200</xdr:rowOff>
                  </from>
                  <to>
                    <xdr:col>4</xdr:col>
                    <xdr:colOff>584200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Person1">
                <anchor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1</xdr:col>
                    <xdr:colOff>298450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6" name="Button 8">
              <controlPr defaultSize="0" print="0" autoFill="0" autoPict="0" macro="[0]!CopyIncome">
                <anchor>
                  <from>
                    <xdr:col>0</xdr:col>
                    <xdr:colOff>57150</xdr:colOff>
                    <xdr:row>31</xdr:row>
                    <xdr:rowOff>0</xdr:rowOff>
                  </from>
                  <to>
                    <xdr:col>1</xdr:col>
                    <xdr:colOff>298450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Button 9">
              <controlPr defaultSize="0" print="0" autoFill="0" autoPict="0" macro="[0]!CopyExpense">
                <anchor>
                  <from>
                    <xdr:col>1</xdr:col>
                    <xdr:colOff>590550</xdr:colOff>
                    <xdr:row>31</xdr:row>
                    <xdr:rowOff>0</xdr:rowOff>
                  </from>
                  <to>
                    <xdr:col>2</xdr:col>
                    <xdr:colOff>831850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33</vt:i4>
      </vt:variant>
    </vt:vector>
  </HeadingPairs>
  <TitlesOfParts>
    <vt:vector size="42" baseType="lpstr">
      <vt:lpstr>BW</vt:lpstr>
      <vt:lpstr>SM</vt:lpstr>
      <vt:lpstr>WK</vt:lpstr>
      <vt:lpstr>CS</vt:lpstr>
      <vt:lpstr>UI</vt:lpstr>
      <vt:lpstr>YTD BW</vt:lpstr>
      <vt:lpstr>YTD WK</vt:lpstr>
      <vt:lpstr>YTD BW Rng</vt:lpstr>
      <vt:lpstr>YTD WK Rng</vt:lpstr>
      <vt:lpstr>BWExpenses</vt:lpstr>
      <vt:lpstr>BWPerson1</vt:lpstr>
      <vt:lpstr>BWPerson2</vt:lpstr>
      <vt:lpstr>ChildSupportAnnualized</vt:lpstr>
      <vt:lpstr>CSAnnualized</vt:lpstr>
      <vt:lpstr>CSIncomePeriod</vt:lpstr>
      <vt:lpstr>CSSumOfPasted</vt:lpstr>
      <vt:lpstr>BW!Print_Area</vt:lpstr>
      <vt:lpstr>CS!Print_Area</vt:lpstr>
      <vt:lpstr>SM!Print_Area</vt:lpstr>
      <vt:lpstr>WK!Print_Area</vt:lpstr>
      <vt:lpstr>'YTD BW'!Print_Area</vt:lpstr>
      <vt:lpstr>'YTD BW Rng'!Print_Area</vt:lpstr>
      <vt:lpstr>'YTD WK'!Print_Area</vt:lpstr>
      <vt:lpstr>'YTD WK Rng'!Print_Area</vt:lpstr>
      <vt:lpstr>SMExpenses</vt:lpstr>
      <vt:lpstr>SMPerson1</vt:lpstr>
      <vt:lpstr>SMPerson2</vt:lpstr>
      <vt:lpstr>SumOfPasted</vt:lpstr>
      <vt:lpstr>UIPerson1</vt:lpstr>
      <vt:lpstr>UIPerson2</vt:lpstr>
      <vt:lpstr>WKExpenses</vt:lpstr>
      <vt:lpstr>WKPerson1</vt:lpstr>
      <vt:lpstr>WKPerson2</vt:lpstr>
      <vt:lpstr>YTDBWExpenses</vt:lpstr>
      <vt:lpstr>YTDBWPerson1</vt:lpstr>
      <vt:lpstr>YTDBWRangeExpenses</vt:lpstr>
      <vt:lpstr>YTDBWRangePerson1</vt:lpstr>
      <vt:lpstr>YTDPerson1</vt:lpstr>
      <vt:lpstr>YTDWKExpenses</vt:lpstr>
      <vt:lpstr>YTDWKPerson1</vt:lpstr>
      <vt:lpstr>YTDWKRangeExpenses</vt:lpstr>
      <vt:lpstr>YTDWKRangePerson1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McCormick, Jonathan</dc:creator>
  <cp:keywords/>
  <dc:description/>
  <cp:lastModifiedBy>Jonathan McCormick</cp:lastModifiedBy>
  <cp:revision/>
  <cp:lastPrinted>2025-01-09T20:42:31Z</cp:lastPrinted>
  <dcterms:created xsi:type="dcterms:W3CDTF">2024-01-30T20:38:11Z</dcterms:created>
  <dcterms:modified xsi:type="dcterms:W3CDTF">2025-05-29T21:01:28Z</dcterms:modified>
  <cp:category/>
  <cp:contentStatus/>
</cp:coreProperties>
</file>