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ChildCare-South\3 Child Care Assistance Program aka Fred\CCAP Tools\Script Folder - Do not modify\"/>
    </mc:Choice>
  </mc:AlternateContent>
  <xr:revisionPtr revIDLastSave="0" documentId="13_ncr:1_{2E04EFA1-5043-492D-BD6C-8519B83CED4C}" xr6:coauthVersionLast="47" xr6:coauthVersionMax="47" xr10:uidLastSave="{00000000-0000-0000-0000-000000000000}"/>
  <workbookProtection lockStructure="1"/>
  <bookViews>
    <workbookView xWindow="-110" yWindow="-110" windowWidth="38620" windowHeight="21100" tabRatio="943" xr2:uid="{00000000-000D-0000-FFFF-FFFF00000000}"/>
  </bookViews>
  <sheets>
    <sheet name="Pay Periods" sheetId="1" r:id="rId1"/>
    <sheet name="CS" sheetId="8" r:id="rId2"/>
    <sheet name="UI" sheetId="7" r:id="rId3"/>
    <sheet name="YTD" sheetId="4" r:id="rId4"/>
    <sheet name="YTD Range" sheetId="6" r:id="rId5"/>
  </sheets>
  <functionGroups builtInGroupCount="19"/>
  <definedNames>
    <definedName name="_xleta.COUNTA" hidden="1" xlm="1">#NAME?</definedName>
    <definedName name="_xleta.DATEDIF" hidden="1" xlm="1">#NAME?</definedName>
    <definedName name="_xleta.IFS" hidden="1" xlm="1">#NAME?</definedName>
    <definedName name="_xleta.MID" hidden="1" xlm="1">#NAME?</definedName>
    <definedName name="_xleta.ROUNDUP" hidden="1" xlm="1">#NAME?</definedName>
    <definedName name="_xleta.SWITCH" hidden="1" xlm="1">#NAME?</definedName>
    <definedName name="_xlpm.acronym" hidden="1" xlm="1">#NAME?</definedName>
    <definedName name="_xlpm.dateDiff" hidden="1" xlm="1">#NAME?</definedName>
    <definedName name="_xlpm.days" hidden="1" xlm="1">#NAME?</definedName>
    <definedName name="_xlpm.daysInPeriod" hidden="1" xlm="1">#NAME?</definedName>
    <definedName name="_xlpm.divisor" hidden="1" xlm="1">#NAME?</definedName>
    <definedName name="_xlpm.p" hidden="1" xlm="1">#NAME?</definedName>
    <definedName name="_xlpm.P1BW" hidden="1" xlm="1">#NAME?</definedName>
    <definedName name="_xlpm.P1SM" hidden="1" xlm="1">#NAME?</definedName>
    <definedName name="_xlpm.P2BW" hidden="1" xlm="1">#NAME?</definedName>
    <definedName name="_xlpm.P2SM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o" hidden="1" xlm="1">#NAME?</definedName>
    <definedName name="_xlpm.period" hidden="1" xlm="1">#NAME?</definedName>
    <definedName name="_xlpm.periods" hidden="1" xlm="1">#NAME?</definedName>
    <definedName name="_xlpm.periodsCounted" hidden="1" xlm="1">#NAME?</definedName>
    <definedName name="_xlpm.periodsI" hidden="1" xlm="1">#NAME?</definedName>
    <definedName name="_xlpm.periodsIn" hidden="1" xlm="1">#NAME?</definedName>
    <definedName name="_xlpm.periodsInY" hidden="1" xlm="1">#NAME?</definedName>
    <definedName name="_xlpm.periodsInYe" hidden="1" xlm="1">#NAME?</definedName>
    <definedName name="_xlpm.periodsInYea" hidden="1" xlm="1">#NAME?</definedName>
    <definedName name="_xlpm.periodsInYear" hidden="1" xlm="1">#NAME?</definedName>
    <definedName name="_xlpm.periodType" hidden="1" xlm="1">#NAME?</definedName>
    <definedName name="_xlpm.varname" hidden="1" xlm="1">#NAME?</definedName>
    <definedName name="_xlpm.weeksInPeriod" hidden="1" xlm="1">#NAME?</definedName>
    <definedName name="CSAnnualizedText">CS!$G$30</definedName>
    <definedName name="CSDatesPayments">CS!$A$2:$B$202</definedName>
    <definedName name="CSEntriesSum">CS!$D$9</definedName>
    <definedName name="CSIncomePeriod">CS!$D$8</definedName>
    <definedName name="CSMonths">CS!$E$5</definedName>
    <definedName name="CSSumCalc">CS!$D$12</definedName>
    <definedName name="PPExpenses">'Pay Periods'!$A$27</definedName>
    <definedName name="PPPerson1">'Pay Periods'!$A$25</definedName>
    <definedName name="PPPerson2">'Pay Periods'!$A$26</definedName>
    <definedName name="_xlnm.Print_Area" localSheetId="1">CS!$A:$E</definedName>
    <definedName name="_xlnm.Print_Area" localSheetId="0">'Pay Periods'!$A$1:$G$27</definedName>
    <definedName name="_xlnm.Print_Area" localSheetId="2">UI!$A$1:$E$26</definedName>
    <definedName name="_xlnm.Print_Area" localSheetId="3">YTD!$A$1:$G$26</definedName>
    <definedName name="_xlnm.Print_Area" localSheetId="4">'YTD Range'!$A$1:$G$26</definedName>
    <definedName name="SumOfPasted">CS!$D$9</definedName>
    <definedName name="UIPerson1">UI!$A$25</definedName>
    <definedName name="UIPerson2">UI!$A$26</definedName>
    <definedName name="YTDExpenses">YTD!$A$26</definedName>
    <definedName name="YTDperiodsCounted">YTD!$B$28</definedName>
    <definedName name="YTDPerson1">YTD!$A$25</definedName>
    <definedName name="YTDRangeExpenses">'YTD Range'!$A$26</definedName>
    <definedName name="YTDRangePerson1">'YTD Range'!$A$25</definedName>
    <definedName name="YTDRperiodsCounted">'YTD Range'!$B$28</definedName>
  </definedNames>
  <calcPr calcId="191028"/>
  <customWorkbookViews>
    <customWorkbookView name="Income" guid="{292C5557-1FFE-4F9F-B4A6-F222AD2998EA}" xWindow="786" yWindow="41" windowWidth="493" windowHeight="730" tabRatio="65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6" l="1" a="1"/>
  <c r="E28" i="6" s="1"/>
  <c r="B28" i="6" a="1"/>
  <c r="B28" i="6" s="1"/>
  <c r="E15" i="6" s="1" a="1"/>
  <c r="E15" i="6" s="1"/>
  <c r="B28" i="4" a="1"/>
  <c r="B28" i="4" s="1"/>
  <c r="E9" i="4" s="1" a="1"/>
  <c r="E9" i="4" s="1"/>
  <c r="E28" i="4" s="1" a="1"/>
  <c r="E28" i="4" s="1"/>
  <c r="D9" i="8"/>
  <c r="A34" i="1" a="1"/>
  <c r="A34" i="1" s="1"/>
  <c r="A35" i="1" a="1"/>
  <c r="A35" i="1" s="1"/>
  <c r="G3" i="8"/>
  <c r="F23" i="4"/>
  <c r="F22" i="4"/>
  <c r="F21" i="4"/>
  <c r="F20" i="4"/>
  <c r="F19" i="4"/>
  <c r="F19" i="6"/>
  <c r="F20" i="6"/>
  <c r="F21" i="6"/>
  <c r="F22" i="6"/>
  <c r="F23" i="6"/>
  <c r="D8" i="8"/>
  <c r="F23" i="1"/>
  <c r="F22" i="1"/>
  <c r="F21" i="1"/>
  <c r="F20" i="1"/>
  <c r="D41" i="1"/>
  <c r="B47" i="1" s="1"/>
  <c r="D38" i="1"/>
  <c r="B45" i="1" s="1"/>
  <c r="D37" i="1"/>
  <c r="B44" i="1" s="1"/>
  <c r="D42" i="1"/>
  <c r="B48" i="1" s="1"/>
  <c r="F19" i="1"/>
  <c r="E13" i="1"/>
  <c r="E15" i="1" s="1" a="1"/>
  <c r="E15" i="1" s="1"/>
  <c r="D13" i="1"/>
  <c r="D15" i="1" s="1" a="1"/>
  <c r="D15" i="1" s="1"/>
  <c r="B13" i="1"/>
  <c r="B15" i="1" s="1" a="1"/>
  <c r="B15" i="1" s="1"/>
  <c r="A13" i="1"/>
  <c r="A26" i="1" l="1" a="1"/>
  <c r="A26" i="1" s="1"/>
  <c r="A26" i="6"/>
  <c r="A26" i="4"/>
  <c r="A27" i="1"/>
  <c r="A15" i="1" a="1"/>
  <c r="A15" i="1" s="1"/>
  <c r="A25" i="1" s="1" a="1"/>
  <c r="A25" i="1" s="1"/>
  <c r="A25" i="6"/>
  <c r="A27" i="4" l="1"/>
  <c r="A25" i="4"/>
  <c r="J9" i="8"/>
  <c r="J10" i="8"/>
  <c r="J11" i="8"/>
  <c r="J12" i="8"/>
  <c r="J13" i="8"/>
  <c r="J14" i="8"/>
  <c r="J15" i="8"/>
  <c r="J16" i="8"/>
  <c r="J17" i="8"/>
  <c r="J18" i="8"/>
  <c r="J7" i="8"/>
  <c r="J8" i="8"/>
  <c r="H6" i="8"/>
  <c r="G2" i="8"/>
  <c r="D11" i="8" l="1"/>
  <c r="D12" i="8" s="1"/>
  <c r="G30" i="8" s="1"/>
  <c r="E10" i="7"/>
  <c r="E11" i="7" s="1"/>
  <c r="A26" i="7" s="1"/>
  <c r="B10" i="7"/>
  <c r="B11" i="7" s="1"/>
  <c r="A25" i="7" s="1"/>
  <c r="D40" i="4" l="1"/>
  <c r="D37" i="4"/>
  <c r="B42" i="4" s="1"/>
  <c r="D40" i="6"/>
  <c r="D37" i="6"/>
  <c r="B42" i="6" s="1"/>
  <c r="B44" i="4" l="1"/>
  <c r="B4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8A6BAA35-CE1C-4E62-95DF-6684B2318F6A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B1" authorId="0" shapeId="0" xr:uid="{E50A0080-12DC-4B44-98C9-C8782C3D1181}">
      <text>
        <r>
          <rPr>
            <b/>
            <sz val="9"/>
            <color indexed="81"/>
            <rFont val="Tahoma"/>
            <family val="2"/>
          </rPr>
          <t>Valid formats:
Number, rounded to 2 decimal points.
Hours:minutes (will convert to number).</t>
        </r>
      </text>
    </comment>
    <comment ref="D1" authorId="0" shapeId="0" xr:uid="{DBAD93CE-9BDA-4066-AD52-D07C71D05D13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E1" authorId="0" shapeId="0" xr:uid="{FE10AB65-9FF7-47C5-BABB-94849629472D}">
      <text>
        <r>
          <rPr>
            <b/>
            <sz val="9"/>
            <color indexed="81"/>
            <rFont val="Tahoma"/>
            <family val="2"/>
          </rPr>
          <t>Valid formats:
Number, rounded to 2 decimal points.
Hours:minutes (will convert to number).</t>
        </r>
      </text>
    </comment>
    <comment ref="A36" authorId="0" shapeId="0" xr:uid="{B00892F8-517E-4166-AF0A-FC73B9F9ABF8}">
      <text>
        <r>
          <rPr>
            <b/>
            <sz val="9"/>
            <color indexed="81"/>
            <rFont val="Tahoma"/>
            <family val="2"/>
          </rPr>
          <t>Example: School teacher whose job is 38 weeks per year.
Note: MEC2 natively supports "Contract Periods" on the Earned Income page.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4FDCEDF8-3245-4D93-9C0E-F292AB45DCAF}">
      <text>
        <r>
          <rPr>
            <b/>
            <sz val="9"/>
            <color indexed="81"/>
            <rFont val="Tahoma"/>
            <family val="2"/>
          </rPr>
          <t>When copying from PRISM, the Date and Payment columns can be copied from PRISM together, then pasted into Excel at the same time.
(Paste all into the 'A' Column.)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E4A060A1-0C0E-4401-BC94-6F2E90E34B25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7DCB3F0F-FD8C-41B4-9CCE-B541EAF0692C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B7" authorId="0" shapeId="0" xr:uid="{2104FD35-445F-47FC-9CB6-38B4DA7ACB6C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300FE394-F0D6-42DA-A316-5F6520F7803D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<sst xmlns="http://schemas.openxmlformats.org/spreadsheetml/2006/main" count="138" uniqueCount="60">
  <si>
    <t>Hours</t>
  </si>
  <si>
    <t>Date</t>
  </si>
  <si>
    <t>Person1 - Employer</t>
  </si>
  <si>
    <t>Average:</t>
  </si>
  <si>
    <t>Annualized:</t>
  </si>
  <si>
    <t>Deductions:</t>
  </si>
  <si>
    <t>Biweekly</t>
  </si>
  <si>
    <t>Monthly</t>
  </si>
  <si>
    <t>Semimonthly</t>
  </si>
  <si>
    <t>Annualized</t>
  </si>
  <si>
    <t>Medical</t>
  </si>
  <si>
    <t>Dental</t>
  </si>
  <si>
    <t>Vision</t>
  </si>
  <si>
    <t>Child Support</t>
  </si>
  <si>
    <t>Spousal Support</t>
  </si>
  <si>
    <t>Contract Periods</t>
  </si>
  <si>
    <t>Weeks</t>
  </si>
  <si>
    <t>Months</t>
  </si>
  <si>
    <t>% of Year</t>
  </si>
  <si>
    <t>Job 1:</t>
  </si>
  <si>
    <t>Job 2:</t>
  </si>
  <si>
    <t>Leave Range</t>
  </si>
  <si>
    <t>P1 Contract:</t>
  </si>
  <si>
    <t>P2 Contract:</t>
  </si>
  <si>
    <t>P1 Leave:</t>
  </si>
  <si>
    <t>P2 Leave:</t>
  </si>
  <si>
    <t>Weekly</t>
  </si>
  <si>
    <t>Name - Employer</t>
  </si>
  <si>
    <t>Last Paydate counted:</t>
  </si>
  <si>
    <t>Year-to-Date gross income:</t>
  </si>
  <si>
    <t>Annualized income:</t>
  </si>
  <si>
    <t>Date:</t>
  </si>
  <si>
    <t>Payment:</t>
  </si>
  <si>
    <t>Months Used:</t>
  </si>
  <si>
    <t>Income</t>
  </si>
  <si>
    <t>Today's date minus</t>
  </si>
  <si>
    <t>Calculation month</t>
  </si>
  <si>
    <t>-</t>
  </si>
  <si>
    <t>Unemployment Compensation Calculator</t>
  </si>
  <si>
    <t>[Recipient Name]</t>
  </si>
  <si>
    <t>Date last received</t>
  </si>
  <si>
    <t>Weekly amount</t>
  </si>
  <si>
    <t>Balance</t>
  </si>
  <si>
    <t>Weeks remaining</t>
  </si>
  <si>
    <t>Temp income end date</t>
  </si>
  <si>
    <t xml:space="preserve"> % of Year</t>
  </si>
  <si>
    <t>Year-to-Date Income - Biweekly</t>
  </si>
  <si>
    <t>Year-to-Date Income (within a range) - Biweekly</t>
  </si>
  <si>
    <t>Contract Period</t>
  </si>
  <si>
    <t>Weekly:</t>
  </si>
  <si>
    <t>First Paydate date:</t>
  </si>
  <si>
    <t>First Paydate Year-to-Date gross income:</t>
  </si>
  <si>
    <t>Gross income earned on First Paydate:</t>
  </si>
  <si>
    <t>Most current Paydate date:</t>
  </si>
  <si>
    <t>Most current Year-to-Date gross income:</t>
  </si>
  <si>
    <t>PRISM:   DDPL   CHPL</t>
  </si>
  <si>
    <t>pay periods</t>
  </si>
  <si>
    <t>Avg:</t>
  </si>
  <si>
    <t>Start Date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</si>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</sst>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6" x14ac:knownFonts="1">
    <font>
      <sz val="10"/>
      <name val="Arial"/>
      <family val="2"/>
    </font>
    <font>
      <sz val="9"/>
      <name val="Consolas"/>
      <family val="3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20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49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/>
    <xf numFmtId="0" fontId="0" fillId="0" borderId="0" xfId="0" applyAlignment="1">
      <alignment horizontal="left"/>
    </xf>
    <xf numFmtId="165" fontId="0" fillId="0" borderId="1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166" fontId="0" fillId="0" borderId="0" xfId="0" applyNumberFormat="1"/>
    <xf numFmtId="2" fontId="0" fillId="0" borderId="0" xfId="0" applyNumberFormat="1"/>
    <xf numFmtId="44" fontId="0" fillId="0" borderId="0" xfId="1" applyFont="1"/>
    <xf numFmtId="14" fontId="0" fillId="0" borderId="1" xfId="0" applyNumberFormat="1" applyBorder="1"/>
    <xf numFmtId="167" fontId="0" fillId="0" borderId="1" xfId="0" applyNumberFormat="1" applyBorder="1"/>
    <xf numFmtId="165" fontId="0" fillId="0" borderId="0" xfId="0" applyNumberFormat="1" applyAlignment="1">
      <alignment horizontal="right"/>
    </xf>
    <xf numFmtId="165" fontId="0" fillId="0" borderId="0" xfId="0" applyNumberFormat="1"/>
    <xf numFmtId="169" fontId="0" fillId="0" borderId="0" xfId="0" quotePrefix="1" applyNumberFormat="1"/>
    <xf numFmtId="169" fontId="3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6" xfId="0" quotePrefix="1" applyNumberForma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14" fontId="1" fillId="0" borderId="0" xfId="0" applyNumberFormat="1" applyFont="1"/>
    <xf numFmtId="14" fontId="0" fillId="0" borderId="0" xfId="0" applyNumberFormat="1" applyAlignment="1">
      <alignment horizontal="right"/>
    </xf>
    <xf numFmtId="14" fontId="0" fillId="0" borderId="6" xfId="0" applyNumberFormat="1" applyBorder="1"/>
    <xf numFmtId="14" fontId="0" fillId="0" borderId="6" xfId="0" applyNumberFormat="1" applyBorder="1" applyAlignment="1">
      <alignment horizontal="right"/>
    </xf>
    <xf numFmtId="14" fontId="0" fillId="0" borderId="5" xfId="0" applyNumberFormat="1" applyBorder="1"/>
    <xf numFmtId="14" fontId="0" fillId="0" borderId="9" xfId="0" applyNumberFormat="1" applyBorder="1"/>
    <xf numFmtId="165" fontId="0" fillId="0" borderId="1" xfId="0" applyNumberFormat="1" applyBorder="1"/>
    <xf numFmtId="165" fontId="0" fillId="0" borderId="1" xfId="0" applyNumberFormat="1" applyBorder="1" applyProtection="1">
      <protection locked="0"/>
    </xf>
    <xf numFmtId="170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right"/>
      <protection locked="0"/>
    </xf>
    <xf numFmtId="170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4" fontId="0" fillId="0" borderId="1" xfId="0" applyNumberFormat="1" applyBorder="1" applyProtection="1">
      <protection locked="0"/>
    </xf>
    <xf numFmtId="168" fontId="0" fillId="0" borderId="1" xfId="1" applyNumberFormat="1" applyFont="1" applyBorder="1" applyProtection="1">
      <protection locked="0"/>
    </xf>
    <xf numFmtId="168" fontId="0" fillId="0" borderId="1" xfId="0" applyNumberFormat="1" applyBorder="1" applyProtection="1">
      <protection locked="0"/>
    </xf>
    <xf numFmtId="14" fontId="0" fillId="0" borderId="1" xfId="0" applyNumberFormat="1" applyBorder="1" applyAlignment="1" applyProtection="1">
      <alignment horizontal="left"/>
      <protection locked="0"/>
    </xf>
    <xf numFmtId="165" fontId="0" fillId="0" borderId="1" xfId="0" applyNumberFormat="1" applyBorder="1" applyAlignment="1" applyProtection="1">
      <alignment horizontal="left"/>
      <protection locked="0"/>
    </xf>
    <xf numFmtId="0" fontId="0" fillId="0" borderId="5" xfId="0" applyBorder="1"/>
    <xf numFmtId="0" fontId="0" fillId="0" borderId="5" xfId="0" applyBorder="1" applyAlignment="1">
      <alignment horizontal="right"/>
    </xf>
    <xf numFmtId="0" fontId="0" fillId="0" borderId="1" xfId="0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 shrinkToFit="1"/>
      <protection locked="0"/>
    </xf>
    <xf numFmtId="0" fontId="0" fillId="0" borderId="0" xfId="0" applyAlignment="1">
      <alignment shrinkToFit="1"/>
    </xf>
    <xf numFmtId="49" fontId="0" fillId="0" borderId="2" xfId="0" applyNumberFormat="1" applyBorder="1" applyAlignment="1">
      <alignment horizontal="right"/>
    </xf>
    <xf numFmtId="170" fontId="0" fillId="0" borderId="11" xfId="0" applyNumberFormat="1" applyBorder="1" applyProtection="1">
      <protection locked="0"/>
    </xf>
    <xf numFmtId="170" fontId="0" fillId="0" borderId="14" xfId="0" applyNumberFormat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16" xfId="0" applyNumberFormat="1" applyBorder="1" applyProtection="1">
      <protection locked="0"/>
    </xf>
    <xf numFmtId="165" fontId="0" fillId="0" borderId="17" xfId="0" applyNumberFormat="1" applyBorder="1" applyProtection="1">
      <protection locked="0"/>
    </xf>
    <xf numFmtId="165" fontId="0" fillId="0" borderId="18" xfId="0" applyNumberFormat="1" applyBorder="1" applyProtection="1">
      <protection locked="0"/>
    </xf>
    <xf numFmtId="165" fontId="0" fillId="0" borderId="19" xfId="0" applyNumberFormat="1" applyBorder="1" applyProtection="1">
      <protection locked="0"/>
    </xf>
    <xf numFmtId="165" fontId="0" fillId="0" borderId="20" xfId="0" applyNumberFormat="1" applyBorder="1" applyProtection="1">
      <protection locked="0"/>
    </xf>
    <xf numFmtId="165" fontId="0" fillId="0" borderId="21" xfId="0" applyNumberFormat="1" applyBorder="1" applyProtection="1">
      <protection locked="0"/>
    </xf>
    <xf numFmtId="165" fontId="0" fillId="0" borderId="22" xfId="0" applyNumberFormat="1" applyBorder="1" applyProtection="1">
      <protection locked="0"/>
    </xf>
    <xf numFmtId="165" fontId="0" fillId="0" borderId="23" xfId="0" applyNumberFormat="1" applyBorder="1" applyProtection="1">
      <protection locked="0"/>
    </xf>
    <xf numFmtId="1" fontId="0" fillId="0" borderId="18" xfId="0" applyNumberFormat="1" applyBorder="1" applyProtection="1">
      <protection locked="0"/>
    </xf>
    <xf numFmtId="1" fontId="0" fillId="0" borderId="22" xfId="0" applyNumberFormat="1" applyBorder="1" applyProtection="1">
      <protection locked="0"/>
    </xf>
    <xf numFmtId="14" fontId="0" fillId="0" borderId="18" xfId="0" applyNumberFormat="1" applyBorder="1" applyProtection="1">
      <protection locked="0"/>
    </xf>
    <xf numFmtId="14" fontId="0" fillId="0" borderId="22" xfId="0" applyNumberFormat="1" applyBorder="1" applyProtection="1">
      <protection locked="0"/>
    </xf>
    <xf numFmtId="0" fontId="0" fillId="0" borderId="24" xfId="0" applyBorder="1" applyProtection="1">
      <protection locked="0"/>
    </xf>
    <xf numFmtId="14" fontId="0" fillId="0" borderId="24" xfId="0" applyNumberFormat="1" applyBorder="1" applyProtection="1">
      <protection locked="0"/>
    </xf>
    <xf numFmtId="165" fontId="0" fillId="0" borderId="25" xfId="0" applyNumberFormat="1" applyBorder="1" applyProtection="1">
      <protection locked="0"/>
    </xf>
    <xf numFmtId="170" fontId="0" fillId="0" borderId="27" xfId="0" applyNumberFormat="1" applyBorder="1" applyProtection="1">
      <protection locked="0"/>
    </xf>
    <xf numFmtId="165" fontId="0" fillId="0" borderId="28" xfId="0" applyNumberFormat="1" applyBorder="1" applyProtection="1">
      <protection locked="0"/>
    </xf>
    <xf numFmtId="0" fontId="0" fillId="0" borderId="3" xfId="0" applyBorder="1" applyAlignment="1">
      <alignment horizontal="right"/>
    </xf>
    <xf numFmtId="165" fontId="0" fillId="0" borderId="29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32" xfId="0" applyNumberFormat="1" applyBorder="1"/>
    <xf numFmtId="165" fontId="0" fillId="0" borderId="33" xfId="0" applyNumberFormat="1" applyBorder="1"/>
    <xf numFmtId="165" fontId="0" fillId="0" borderId="34" xfId="0" applyNumberFormat="1" applyBorder="1"/>
    <xf numFmtId="1" fontId="0" fillId="0" borderId="29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0" fontId="0" fillId="0" borderId="32" xfId="0" applyNumberFormat="1" applyBorder="1"/>
    <xf numFmtId="10" fontId="0" fillId="0" borderId="34" xfId="0" applyNumberFormat="1" applyBorder="1"/>
    <xf numFmtId="14" fontId="0" fillId="0" borderId="29" xfId="0" applyNumberFormat="1" applyBorder="1" applyProtection="1">
      <protection locked="0"/>
    </xf>
    <xf numFmtId="14" fontId="0" fillId="0" borderId="31" xfId="0" applyNumberFormat="1" applyBorder="1" applyProtection="1">
      <protection locked="0"/>
    </xf>
    <xf numFmtId="0" fontId="0" fillId="0" borderId="35" xfId="0" applyBorder="1" applyProtection="1">
      <protection locked="0"/>
    </xf>
    <xf numFmtId="166" fontId="0" fillId="0" borderId="1" xfId="0" applyNumberFormat="1" applyBorder="1"/>
    <xf numFmtId="14" fontId="0" fillId="0" borderId="35" xfId="0" applyNumberFormat="1" applyBorder="1" applyProtection="1">
      <protection locked="0"/>
    </xf>
    <xf numFmtId="0" fontId="0" fillId="0" borderId="0" xfId="0" applyProtection="1">
      <protection locked="0"/>
    </xf>
    <xf numFmtId="2" fontId="0" fillId="0" borderId="26" xfId="0" applyNumberFormat="1" applyBorder="1" applyProtection="1">
      <protection locked="0"/>
    </xf>
    <xf numFmtId="2" fontId="0" fillId="0" borderId="10" xfId="0" applyNumberFormat="1" applyBorder="1" applyProtection="1">
      <protection locked="0"/>
    </xf>
    <xf numFmtId="2" fontId="0" fillId="0" borderId="13" xfId="0" applyNumberFormat="1" applyBorder="1" applyProtection="1">
      <protection locked="0"/>
    </xf>
    <xf numFmtId="0" fontId="0" fillId="0" borderId="0" xfId="0" applyAlignment="1">
      <alignment horizontal="right"/>
    </xf>
    <xf numFmtId="0" fontId="0" fillId="0" borderId="0" xfId="0"/>
    <xf numFmtId="0" fontId="0" fillId="0" borderId="3" xfId="0" applyBorder="1" applyAlignment="1" applyProtection="1">
      <alignment horizontal="center" shrinkToFit="1"/>
      <protection locked="0"/>
    </xf>
    <xf numFmtId="0" fontId="0" fillId="0" borderId="7" xfId="0" applyBorder="1" applyAlignment="1" applyProtection="1">
      <alignment horizontal="center" shrinkToFit="1"/>
      <protection locked="0"/>
    </xf>
    <xf numFmtId="0" fontId="0" fillId="0" borderId="4" xfId="0" applyBorder="1" applyAlignment="1" applyProtection="1">
      <alignment horizontal="center" shrinkToFit="1"/>
      <protection locked="0"/>
    </xf>
    <xf numFmtId="0" fontId="1" fillId="0" borderId="0" xfId="0" applyFont="1" applyAlignment="1">
      <alignment horizontal="left"/>
    </xf>
    <xf numFmtId="0" fontId="5" fillId="0" borderId="0" xfId="0" applyFont="1"/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wrapText="1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70" fontId="0" fillId="0" borderId="8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9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79998168889431442"/>
        </patternFill>
      </fill>
    </dxf>
    <dxf>
      <fill>
        <patternFill patternType="solid">
          <fgColor auto="1"/>
          <bgColor rgb="FFEFF4E4"/>
        </patternFill>
      </fill>
    </dxf>
  </dxfs>
  <tableStyles count="0" defaultTableStyle="TableStyleMedium2" defaultPivotStyle="PivotStyleLight16"/>
  <colors>
    <mruColors>
      <color rgb="FFEFF4E4"/>
      <color rgb="FFFDFDFD"/>
      <color rgb="FFF6F5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819150</xdr:colOff>
          <xdr:row>28</xdr:row>
          <xdr:rowOff>114300</xdr:rowOff>
        </xdr:from>
        <xdr:to>
          <xdr:col>5</xdr:col>
          <xdr:colOff>298450</xdr:colOff>
          <xdr:row>30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304800</xdr:colOff>
          <xdr:row>29</xdr:row>
          <xdr:rowOff>44450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27</xdr:row>
          <xdr:rowOff>44450</xdr:rowOff>
        </xdr:from>
        <xdr:to>
          <xdr:col>3</xdr:col>
          <xdr:colOff>311150</xdr:colOff>
          <xdr:row>29</xdr:row>
          <xdr:rowOff>44450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304800</xdr:colOff>
          <xdr:row>32</xdr:row>
          <xdr:rowOff>25400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596900</xdr:colOff>
          <xdr:row>30</xdr:row>
          <xdr:rowOff>25400</xdr:rowOff>
        </xdr:from>
        <xdr:to>
          <xdr:col>3</xdr:col>
          <xdr:colOff>304800</xdr:colOff>
          <xdr:row>32</xdr:row>
          <xdr:rowOff>25400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23</xdr:row>
          <xdr:rowOff>19050</xdr:rowOff>
        </xdr:from>
        <xdr:to>
          <xdr:col>9</xdr:col>
          <xdr:colOff>165100</xdr:colOff>
          <xdr:row>25</xdr:row>
          <xdr:rowOff>19050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120650</xdr:colOff>
          <xdr:row>26</xdr:row>
          <xdr:rowOff>12700</xdr:rowOff>
        </xdr:from>
        <xdr:to>
          <xdr:col>9</xdr:col>
          <xdr:colOff>152400</xdr:colOff>
          <xdr:row>28</xdr:row>
          <xdr:rowOff>12700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29</xdr:row>
          <xdr:rowOff>76200</xdr:rowOff>
        </xdr:from>
        <xdr:to>
          <xdr:col>4</xdr:col>
          <xdr:colOff>501650</xdr:colOff>
          <xdr:row>31</xdr:row>
          <xdr:rowOff>76200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28</xdr:row>
          <xdr:rowOff>19050</xdr:rowOff>
        </xdr:from>
        <xdr:to>
          <xdr:col>0</xdr:col>
          <xdr:colOff>1295400</xdr:colOff>
          <xdr:row>30</xdr:row>
          <xdr:rowOff>19050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28</xdr:row>
          <xdr:rowOff>19050</xdr:rowOff>
        </xdr:from>
        <xdr:to>
          <xdr:col>3</xdr:col>
          <xdr:colOff>254000</xdr:colOff>
          <xdr:row>30</xdr:row>
          <xdr:rowOff>19050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31</xdr:row>
          <xdr:rowOff>0</xdr:rowOff>
        </xdr:from>
        <xdr:to>
          <xdr:col>0</xdr:col>
          <xdr:colOff>1295400</xdr:colOff>
          <xdr:row>33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31</xdr:row>
          <xdr:rowOff>0</xdr:rowOff>
        </xdr:from>
        <xdr:to>
          <xdr:col>3</xdr:col>
          <xdr:colOff>247650</xdr:colOff>
          <xdr:row>33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95250</xdr:rowOff>
        </xdr:from>
        <xdr:to>
          <xdr:col>5</xdr:col>
          <xdr:colOff>336550</xdr:colOff>
          <xdr:row>30</xdr:row>
          <xdr:rowOff>95250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38100</xdr:rowOff>
        </xdr:from>
        <xdr:to>
          <xdr:col>1</xdr:col>
          <xdr:colOff>292100</xdr:colOff>
          <xdr:row>29</xdr:row>
          <xdr:rowOff>38100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19050</xdr:rowOff>
        </xdr:from>
        <xdr:to>
          <xdr:col>1</xdr:col>
          <xdr:colOff>292100</xdr:colOff>
          <xdr:row>32</xdr:row>
          <xdr:rowOff>19050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19050</xdr:rowOff>
        </xdr:from>
        <xdr:to>
          <xdr:col>3</xdr:col>
          <xdr:colOff>203200</xdr:colOff>
          <xdr:row>32</xdr:row>
          <xdr:rowOff>19050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101600</xdr:rowOff>
        </xdr:from>
        <xdr:to>
          <xdr:col>5</xdr:col>
          <xdr:colOff>336550</xdr:colOff>
          <xdr:row>30</xdr:row>
          <xdr:rowOff>101600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4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292100</xdr:colOff>
          <xdr:row>29</xdr:row>
          <xdr:rowOff>44450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4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292100</xdr:colOff>
          <xdr:row>32</xdr:row>
          <xdr:rowOff>25400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4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25400</xdr:rowOff>
        </xdr:from>
        <xdr:to>
          <xdr:col>3</xdr:col>
          <xdr:colOff>203200</xdr:colOff>
          <xdr:row>32</xdr:row>
          <xdr:rowOff>25400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4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8"/>
  <sheetViews>
    <sheetView tabSelected="1"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4.26953125" customWidth="1"/>
    <col min="2" max="2" width="11" customWidth="1"/>
    <col min="3" max="3" width="11" style="12" customWidth="1"/>
    <col min="4" max="4" width="14.26953125" customWidth="1"/>
    <col min="5" max="5" width="11" customWidth="1"/>
    <col min="6" max="6" width="11" style="12" customWidth="1"/>
    <col min="7" max="7" width="7.1796875" customWidth="1"/>
    <col min="8" max="8" width="11.54296875" customWidth="1"/>
    <col min="9" max="9" width="12.08984375" customWidth="1"/>
  </cols>
  <sheetData>
    <row r="1" spans="1:26" ht="23" customHeight="1" x14ac:dyDescent="0.25">
      <c r="A1" s="52" t="s">
        <v>6</v>
      </c>
      <c r="B1" s="10" t="s">
        <v>0</v>
      </c>
      <c r="C1" s="32" t="s">
        <v>1</v>
      </c>
      <c r="D1" s="52" t="s">
        <v>6</v>
      </c>
      <c r="E1" s="10" t="s">
        <v>0</v>
      </c>
      <c r="F1" s="32" t="s">
        <v>1</v>
      </c>
      <c r="Z1" s="93"/>
    </row>
    <row r="2" spans="1:26" ht="12.5" customHeight="1" x14ac:dyDescent="0.25">
      <c r="A2" s="99" t="s">
        <v>2</v>
      </c>
      <c r="B2" s="100"/>
      <c r="C2" s="101"/>
      <c r="D2" s="99"/>
      <c r="E2" s="100"/>
      <c r="F2" s="101"/>
    </row>
    <row r="3" spans="1:26" ht="12.5" customHeight="1" x14ac:dyDescent="0.25">
      <c r="A3" s="74"/>
      <c r="B3" s="94"/>
      <c r="C3" s="75"/>
      <c r="D3" s="76"/>
      <c r="E3" s="94"/>
      <c r="F3" s="75"/>
    </row>
    <row r="4" spans="1:26" ht="12.5" customHeight="1" x14ac:dyDescent="0.25">
      <c r="A4" s="58"/>
      <c r="B4" s="95"/>
      <c r="C4" s="56"/>
      <c r="D4" s="60"/>
      <c r="E4" s="95"/>
      <c r="F4" s="56"/>
    </row>
    <row r="5" spans="1:26" ht="12.5" customHeight="1" x14ac:dyDescent="0.25">
      <c r="A5" s="58"/>
      <c r="B5" s="95"/>
      <c r="C5" s="56"/>
      <c r="D5" s="60"/>
      <c r="E5" s="95"/>
      <c r="F5" s="56"/>
    </row>
    <row r="6" spans="1:26" ht="12.5" customHeight="1" x14ac:dyDescent="0.25">
      <c r="A6" s="58"/>
      <c r="B6" s="95"/>
      <c r="C6" s="56"/>
      <c r="D6" s="60"/>
      <c r="E6" s="95"/>
      <c r="F6" s="56"/>
    </row>
    <row r="7" spans="1:26" ht="12.5" customHeight="1" x14ac:dyDescent="0.25">
      <c r="A7" s="58"/>
      <c r="B7" s="95"/>
      <c r="C7" s="56"/>
      <c r="D7" s="60"/>
      <c r="E7" s="95"/>
      <c r="F7" s="56"/>
    </row>
    <row r="8" spans="1:26" ht="12.5" customHeight="1" x14ac:dyDescent="0.25">
      <c r="A8" s="58"/>
      <c r="B8" s="95"/>
      <c r="C8" s="56"/>
      <c r="D8" s="60"/>
      <c r="E8" s="95"/>
      <c r="F8" s="56"/>
    </row>
    <row r="9" spans="1:26" ht="12.5" customHeight="1" x14ac:dyDescent="0.25">
      <c r="A9" s="58"/>
      <c r="B9" s="95"/>
      <c r="C9" s="56"/>
      <c r="D9" s="60"/>
      <c r="E9" s="95"/>
      <c r="F9" s="56"/>
    </row>
    <row r="10" spans="1:26" ht="12.5" customHeight="1" x14ac:dyDescent="0.25">
      <c r="A10" s="58"/>
      <c r="B10" s="95"/>
      <c r="C10" s="56"/>
      <c r="D10" s="60"/>
      <c r="E10" s="95"/>
      <c r="F10" s="56"/>
    </row>
    <row r="11" spans="1:26" ht="12.5" customHeight="1" x14ac:dyDescent="0.25">
      <c r="A11" s="59"/>
      <c r="B11" s="96"/>
      <c r="C11" s="57"/>
      <c r="D11" s="61"/>
      <c r="E11" s="96"/>
      <c r="F11" s="57"/>
    </row>
    <row r="12" spans="1:26" ht="12.5" customHeight="1" x14ac:dyDescent="0.25">
      <c r="A12" s="55" t="s">
        <v>3</v>
      </c>
      <c r="B12" s="55" t="s">
        <v>3</v>
      </c>
      <c r="C12" s="34"/>
      <c r="D12" s="55" t="s">
        <v>3</v>
      </c>
      <c r="E12" s="55" t="s">
        <v>3</v>
      </c>
      <c r="F12" s="36"/>
      <c r="G12" s="1"/>
    </row>
    <row r="13" spans="1:26" ht="12.5" customHeight="1" x14ac:dyDescent="0.25">
      <c r="A13" s="39" t="str">
        <f>IF(AND(COUNTA(A3:A11), A2&lt;&gt;"Person1 - Employer"),AVERAGE(A3:A11), "")</f>
        <v/>
      </c>
      <c r="B13" s="6" t="str">
        <f>IF(COUNTA(B3:B11),AVERAGE(B3:B11), "")</f>
        <v/>
      </c>
      <c r="D13" s="39" t="str">
        <f>IF(AND(COUNTA(D3:D11), D2&lt;&gt;"Person1 - Employer"),AVERAGE(D3:D11), "")</f>
        <v/>
      </c>
      <c r="E13" s="6" t="str">
        <f>IF(COUNTA(E3:E11),AVERAGE(E3:E11), "")</f>
        <v/>
      </c>
      <c r="F13" s="35"/>
      <c r="G13" s="2"/>
    </row>
    <row r="14" spans="1:26" ht="12.5" customHeight="1" x14ac:dyDescent="0.25">
      <c r="A14" s="3" t="s">
        <v>4</v>
      </c>
      <c r="B14" s="10" t="s">
        <v>49</v>
      </c>
      <c r="C14" s="34"/>
      <c r="D14" s="3" t="s">
        <v>4</v>
      </c>
      <c r="E14" s="10" t="s">
        <v>49</v>
      </c>
      <c r="F14" s="36"/>
      <c r="G14" s="1"/>
    </row>
    <row r="15" spans="1:26" ht="12.5" customHeight="1" x14ac:dyDescent="0.25">
      <c r="A15" s="39" t="str" cm="1">
        <f t="array" ref="A15">IF(A13&lt;&gt;"", (ROUND(A13, 2)*_xlfn.SWITCH(A1, "Biweekly", 26, "Weekly", 52, "Semimonthly", 24, "Monthly", 12)*IF($D41 &lt;&gt;"", $D41, 1)*IF($D37&lt;&gt;"", $D37, 1)), "")</f>
        <v/>
      </c>
      <c r="B15" s="6" t="str" cm="1">
        <f t="array" ref="B15">IF(B13&lt;&gt;"",B13*_xlfn.SWITCH(A1, "Biweekly", 26, "Weekly", 52, "Semimonthly", 24, "Monthly", 12)/52, "")</f>
        <v/>
      </c>
      <c r="C15" s="37"/>
      <c r="D15" s="39" t="str" cm="1">
        <f t="array" ref="D15">IF(D13&lt;&gt;"", (ROUND(D13, 2)*_xlfn.SWITCH(D1, "Biweekly", 26, "Weekly", 52, "Semimonthly", 24, "Monthly", 12)*IF($D42 &lt;&gt;"", $D42, 1)*IF($D38&lt;&gt;"", $D38, 1)), "")</f>
        <v/>
      </c>
      <c r="E15" s="6" t="str" cm="1">
        <f t="array" ref="E15">IF(E13&lt;&gt;"",E13*_xlfn.SWITCH(D1, "Biweekly", 26, "Weekly", 52, "Semimonthly", 24, "Monthly", 12)/52, "")</f>
        <v/>
      </c>
      <c r="F15" s="38"/>
      <c r="G15" s="2"/>
    </row>
    <row r="18" spans="1:7" ht="12.5" customHeight="1" x14ac:dyDescent="0.25">
      <c r="A18" s="4" t="s">
        <v>5</v>
      </c>
      <c r="B18" s="10" t="s">
        <v>6</v>
      </c>
      <c r="C18" s="32" t="s">
        <v>26</v>
      </c>
      <c r="D18" s="10" t="s">
        <v>8</v>
      </c>
      <c r="E18" s="77" t="s">
        <v>7</v>
      </c>
      <c r="F18" s="10" t="s">
        <v>9</v>
      </c>
    </row>
    <row r="19" spans="1:7" ht="12.5" customHeight="1" x14ac:dyDescent="0.25">
      <c r="A19" s="5" t="s">
        <v>10</v>
      </c>
      <c r="B19" s="62"/>
      <c r="C19" s="63"/>
      <c r="D19" s="63"/>
      <c r="E19" s="78"/>
      <c r="F19" s="81" t="str">
        <f>IF(COUNTA(B19:E19),SUM(B19*26+C19*52+D19*24+E19*12), "")</f>
        <v/>
      </c>
    </row>
    <row r="20" spans="1:7" ht="12.5" customHeight="1" x14ac:dyDescent="0.25">
      <c r="A20" s="4" t="s">
        <v>11</v>
      </c>
      <c r="B20" s="64"/>
      <c r="C20" s="65"/>
      <c r="D20" s="65"/>
      <c r="E20" s="79"/>
      <c r="F20" s="82" t="str">
        <f>IF(COUNTA(B20:E20),SUM(B20*26+C20*52+D20*24+E20*12), "")</f>
        <v/>
      </c>
    </row>
    <row r="21" spans="1:7" ht="12.5" customHeight="1" x14ac:dyDescent="0.25">
      <c r="A21" s="4" t="s">
        <v>12</v>
      </c>
      <c r="B21" s="64"/>
      <c r="C21" s="65"/>
      <c r="D21" s="65"/>
      <c r="E21" s="79"/>
      <c r="F21" s="82" t="str">
        <f>IF(COUNTA(B21:E21),SUM(B21*26+C21*52+D21*24+E21*12), "")</f>
        <v/>
      </c>
    </row>
    <row r="22" spans="1:7" ht="12.5" customHeight="1" x14ac:dyDescent="0.25">
      <c r="A22" s="4" t="s">
        <v>13</v>
      </c>
      <c r="B22" s="64"/>
      <c r="C22" s="65"/>
      <c r="D22" s="65"/>
      <c r="E22" s="79"/>
      <c r="F22" s="82" t="str">
        <f>IF(COUNTA(B22:E22),SUM(B22*26+C22*52+D22*24+E22*12), "")</f>
        <v/>
      </c>
    </row>
    <row r="23" spans="1:7" ht="12.5" customHeight="1" x14ac:dyDescent="0.25">
      <c r="A23" s="4" t="s">
        <v>14</v>
      </c>
      <c r="B23" s="66"/>
      <c r="C23" s="67"/>
      <c r="D23" s="67"/>
      <c r="E23" s="80"/>
      <c r="F23" s="83" t="str">
        <f>IF(COUNTA(B23:E23),SUM(B23*26+C23*52+D23*24+E23*12), "")</f>
        <v/>
      </c>
    </row>
    <row r="25" spans="1:7" ht="12.5" customHeight="1" x14ac:dyDescent="0.3">
      <c r="A25" s="102" t="str" cm="1">
        <f t="array" ref="A25">_xlfn.LET(_xlpm.acronym,_xlfn.SWITCH(A$1, "Biweekly", "BW", "Weekly", "WK", "Semimonthly", "SM", "Monthly", "MO"), IF(A$15&lt;&gt;"", _xlfn.TEXTJOIN(" ", TRUE, A$2 &amp; ": " &amp; _xlpm.acronym &amp; " avg $"&amp;TEXT(A$13, "0.00")&amp;", "&amp;TEXT(B$15, "0.0")&amp;"hr/wk; annual @ "&amp;TEXT(A$15,"0.00"), B44, B47), ""))</f>
        <v/>
      </c>
      <c r="B25" s="102"/>
      <c r="C25" s="102"/>
      <c r="D25" s="102"/>
      <c r="E25" s="102"/>
      <c r="F25" s="102"/>
      <c r="G25" s="102"/>
    </row>
    <row r="26" spans="1:7" ht="12.5" customHeight="1" x14ac:dyDescent="0.3">
      <c r="A26" s="102" t="str" cm="1">
        <f t="array" ref="A26">_xlfn.LET(_xlpm.acronym,_xlfn.SWITCH(D$1, "Biweekly", "BW", "Weekly", "WK", "Semimonthly", "SM", "Monthly", "MO"), IF(D$15&lt;&gt;"", _xlfn.TEXTJOIN(" ", TRUE, D$2 &amp; ": " &amp; _xlpm.acronym &amp; " avg $"&amp;TEXT(D$13, "0.00")&amp;", "&amp;TEXT(E$15, "0.0")&amp;"hr/wk; annual @ "&amp;TEXT(D$15,"0.00"), $B45, $B48), ""))</f>
        <v/>
      </c>
      <c r="B26" s="102"/>
      <c r="C26" s="102"/>
      <c r="D26" s="102"/>
      <c r="E26" s="102"/>
      <c r="F26" s="102"/>
      <c r="G26" s="102"/>
    </row>
    <row r="27" spans="1:7" ht="12.5" customHeight="1" x14ac:dyDescent="0.3">
      <c r="A27" s="102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7" s="102"/>
      <c r="C27" s="102"/>
      <c r="D27" s="102"/>
      <c r="E27" s="102"/>
      <c r="F27" s="102"/>
      <c r="G27" s="102"/>
    </row>
    <row r="28" spans="1:7" ht="12.5" customHeight="1" x14ac:dyDescent="0.3">
      <c r="A28" s="11"/>
      <c r="B28" s="11"/>
      <c r="C28" s="11"/>
      <c r="D28" s="11"/>
      <c r="E28" s="11"/>
      <c r="F28" s="11"/>
      <c r="G28" s="11"/>
    </row>
    <row r="33" spans="1:6" ht="12.5" customHeight="1" x14ac:dyDescent="0.3">
      <c r="A33" s="11"/>
      <c r="B33" s="11"/>
      <c r="C33" s="33"/>
      <c r="D33" s="11"/>
      <c r="E33" s="11"/>
      <c r="F33" s="33"/>
    </row>
    <row r="34" spans="1:6" ht="12.5" customHeight="1" x14ac:dyDescent="0.3">
      <c r="A34" s="103" t="str" cm="1">
        <f t="array" ref="A34">_xlfn.LET(
_xlpm.P1BW, AND($A$1="Biweekly", SUMPRODUCT(--(_xlfn.MAP(ABS(C3:C10-C4:C11),_xlfn.LAMBDA(_xlpm.days,AND(_xlpm.days&lt;&gt;14,_xlpm.days&lt;&gt;0,_xlpm.days&lt;25)))))&gt;0),
_xlpm.P1SM, AND($A$1="Semimonthly", SUMPRODUCT(--(_xlfn.MAP(ABS(C3:C10-C4:C11),_xlfn.LAMBDA(_xlpm.days,AND(_xlpm.days=14,_xlpm.days&lt;&gt;0,_xlpm.days&lt;25)))))&gt;0),
IF(_xlpm.P1BW, "P1: Not all dates are 14 days apart. If paydates are sequential, check if semimonthly.",
IF(_xlpm.P1SM, "P1: Dates are 14 days apart. If paydates are sequential, check if biweekly.",
"")))</f>
        <v/>
      </c>
      <c r="B34" s="103"/>
      <c r="C34" s="103"/>
      <c r="D34" s="103"/>
      <c r="E34" s="103"/>
      <c r="F34" s="103"/>
    </row>
    <row r="35" spans="1:6" ht="12.5" customHeight="1" x14ac:dyDescent="0.3">
      <c r="A35" s="103" t="str" cm="1">
        <f t="array" ref="A35">_xlfn.LET(
_xlpm.P2BW, AND($D$1="Biweekly", SUMPRODUCT(--(_xlfn.MAP(ABS(F3:F10-F4:F11),_xlfn.LAMBDA(_xlpm.days,AND(_xlpm.days&lt;&gt;14,_xlpm.days&lt;&gt;0,_xlpm.days&lt;25)))))&gt;0),
_xlpm.P2SM, AND($D$1="Semimonthly", SUMPRODUCT(--(_xlfn.MAP(ABS(F3:F10-F4:F11),_xlfn.LAMBDA(_xlpm.days,AND(_xlpm.days=14,_xlpm.days&lt;&gt;0,_xlpm.days&lt;25)))))&gt;0),
IF(_xlpm.P2BW, "P2: Not all dates are 14 days apart. If paydates are sequential, check if semimonthly.",
IF(_xlpm.P2SM, "P2: Dates are 14 days apart. If paydates are sequential, check if biweekly.",
"")))</f>
        <v/>
      </c>
      <c r="B35" s="103"/>
      <c r="C35" s="103"/>
      <c r="D35" s="103"/>
      <c r="E35" s="103"/>
      <c r="F35" s="103"/>
    </row>
    <row r="36" spans="1:6" ht="12.5" customHeight="1" x14ac:dyDescent="0.25">
      <c r="A36" s="50" t="s">
        <v>15</v>
      </c>
      <c r="B36" s="51" t="s">
        <v>16</v>
      </c>
      <c r="C36" s="51" t="s">
        <v>17</v>
      </c>
      <c r="D36" s="51" t="s">
        <v>18</v>
      </c>
    </row>
    <row r="37" spans="1:6" ht="12.5" customHeight="1" x14ac:dyDescent="0.25">
      <c r="A37" s="4" t="s">
        <v>19</v>
      </c>
      <c r="B37" s="68"/>
      <c r="C37" s="84"/>
      <c r="D37" s="86" t="str">
        <f>IF($B37,$B37/52,IF($C37,$C37/12,""))</f>
        <v/>
      </c>
      <c r="E37" s="13"/>
    </row>
    <row r="38" spans="1:6" ht="12.5" customHeight="1" x14ac:dyDescent="0.25">
      <c r="A38" s="4" t="s">
        <v>20</v>
      </c>
      <c r="B38" s="69"/>
      <c r="C38" s="85"/>
      <c r="D38" s="87" t="str">
        <f>IF($B38,$B38/52,IF($C38,$C38/12,""))</f>
        <v/>
      </c>
      <c r="E38" s="13"/>
    </row>
    <row r="40" spans="1:6" ht="12.5" customHeight="1" x14ac:dyDescent="0.25">
      <c r="A40" s="50" t="s">
        <v>21</v>
      </c>
      <c r="B40" s="51" t="s">
        <v>58</v>
      </c>
      <c r="C40" s="51" t="s">
        <v>59</v>
      </c>
      <c r="D40" s="51" t="s">
        <v>18</v>
      </c>
    </row>
    <row r="41" spans="1:6" ht="12.5" customHeight="1" x14ac:dyDescent="0.25">
      <c r="A41" s="4" t="s">
        <v>19</v>
      </c>
      <c r="B41" s="70"/>
      <c r="C41" s="88"/>
      <c r="D41" s="86" t="str">
        <f>IF(COUNTA($B41, $C41)=2, (1-((DATEDIF($B41,$C41,"d")+1)/365)), "")</f>
        <v/>
      </c>
      <c r="E41" s="13"/>
    </row>
    <row r="42" spans="1:6" ht="12.5" customHeight="1" x14ac:dyDescent="0.25">
      <c r="A42" s="4" t="s">
        <v>20</v>
      </c>
      <c r="B42" s="71"/>
      <c r="C42" s="89"/>
      <c r="D42" s="87" t="str">
        <f>IF(COUNTA($B42, $C42)=2, (1-((DATEDIF($B42,$C42,"d")+1)/365)), "")</f>
        <v/>
      </c>
      <c r="E42" s="13"/>
    </row>
    <row r="44" spans="1:6" ht="12.5" customHeight="1" x14ac:dyDescent="0.25">
      <c r="A44" t="s">
        <v>22</v>
      </c>
      <c r="B44" s="98" t="str">
        <f>IF($D37&lt;&gt;"",IF(COUNTA($B37),"(contract: "&amp; $B37 &amp;"/52 weeks)","(contract: "&amp;C37&amp;"/12 months)"),"")</f>
        <v/>
      </c>
      <c r="C44" s="98"/>
      <c r="D44" s="98"/>
      <c r="E44" s="98"/>
    </row>
    <row r="45" spans="1:6" ht="12.5" customHeight="1" x14ac:dyDescent="0.25">
      <c r="A45" t="s">
        <v>23</v>
      </c>
      <c r="B45" s="98" t="str">
        <f>IF($D38&lt;&gt;"",IF(COUNTA($B38),"(contract: "&amp; $B38 &amp;"/52 weeks)","(contract: "&amp;C38&amp;"/12 months)"),"")</f>
        <v/>
      </c>
      <c r="C45" s="98"/>
      <c r="D45" s="98"/>
      <c r="E45" s="98"/>
    </row>
    <row r="47" spans="1:6" ht="12.5" customHeight="1" x14ac:dyDescent="0.25">
      <c r="A47" t="s">
        <v>24</v>
      </c>
      <c r="B47" s="98" t="str">
        <f>IF($D41&lt;&gt;"","(Leave: "&amp;(DATEDIF($B41,$C41,"d")+1)&amp;" days)","")</f>
        <v/>
      </c>
      <c r="C47" s="98"/>
      <c r="D47" s="98"/>
      <c r="E47" s="98"/>
    </row>
    <row r="48" spans="1:6" ht="12.5" customHeight="1" x14ac:dyDescent="0.25">
      <c r="A48" t="s">
        <v>25</v>
      </c>
      <c r="B48" s="98" t="str">
        <f>IF($D42&lt;&gt;"","(Leave: "&amp;(DATEDIF($B42,$C42,"d")+1)&amp;" days)","")</f>
        <v/>
      </c>
      <c r="C48" s="98"/>
      <c r="D48" s="98"/>
      <c r="E48" s="98"/>
    </row>
  </sheetData>
  <sheetProtection sheet="1" objects="1" scenarios="1"/>
  <customSheetViews>
    <customSheetView guid="{292C5557-1FFE-4F9F-B4A6-F222AD2998EA}">
      <selection activeCell="A2" sqref="A2:B2"/>
      <pageMargins left="0" right="0" top="0" bottom="0" header="0" footer="0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11">
    <mergeCell ref="B44:E44"/>
    <mergeCell ref="B45:E45"/>
    <mergeCell ref="B47:E47"/>
    <mergeCell ref="B48:E48"/>
    <mergeCell ref="A2:C2"/>
    <mergeCell ref="D2:F2"/>
    <mergeCell ref="A25:G25"/>
    <mergeCell ref="A26:G26"/>
    <mergeCell ref="A27:G27"/>
    <mergeCell ref="A34:F34"/>
    <mergeCell ref="A35:F35"/>
  </mergeCells>
  <phoneticPr fontId="0" type="noConversion"/>
  <conditionalFormatting sqref="A1:G33 A36:G43 A34:A35 G34:G35">
    <cfRule type="expression" dxfId="8" priority="2">
      <formula>CELL("protect",A1)=0</formula>
    </cfRule>
  </conditionalFormatting>
  <conditionalFormatting sqref="A1:G33 A36:G42 A34:A35 G34:G35">
    <cfRule type="expression" priority="1" stopIfTrue="1">
      <formula>($Z$1="Printing")</formula>
    </cfRule>
  </conditionalFormatting>
  <dataValidations count="1">
    <dataValidation type="list" allowBlank="1" showInputMessage="1" showErrorMessage="1" sqref="A1 D1" xr:uid="{AEBE6FB9-5F1A-449D-BBD2-8D95ACF9E009}">
      <formula1>"Biweekly, Semimonthly, Weekly, Monthly"</formula1>
    </dataValidation>
  </dataValidations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>
                  <from>
                    <xdr:col>3</xdr:col>
                    <xdr:colOff>819150</xdr:colOff>
                    <xdr:row>28</xdr:row>
                    <xdr:rowOff>114300</xdr:rowOff>
                  </from>
                  <to>
                    <xdr:col>5</xdr:col>
                    <xdr:colOff>298450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304800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>
                  <from>
                    <xdr:col>1</xdr:col>
                    <xdr:colOff>603250</xdr:colOff>
                    <xdr:row>27</xdr:row>
                    <xdr:rowOff>44450</xdr:rowOff>
                  </from>
                  <to>
                    <xdr:col>3</xdr:col>
                    <xdr:colOff>311150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>
                  <from>
                    <xdr:col>1</xdr:col>
                    <xdr:colOff>596900</xdr:colOff>
                    <xdr:row>30</xdr:row>
                    <xdr:rowOff>25400</xdr:rowOff>
                  </from>
                  <to>
                    <xdr:col>3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Z32"/>
  <sheetViews>
    <sheetView zoomScaleNormal="100" workbookViewId="0">
      <selection activeCell="A2" sqref="A2"/>
    </sheetView>
  </sheetViews>
  <sheetFormatPr defaultRowHeight="12.5" x14ac:dyDescent="0.25"/>
  <cols>
    <col min="1" max="1" width="11.26953125" style="43" customWidth="1"/>
    <col min="2" max="2" width="10.54296875" style="44" customWidth="1"/>
    <col min="3" max="3" width="4.54296875" customWidth="1"/>
    <col min="4" max="4" width="11.81640625" customWidth="1"/>
    <col min="5" max="5" width="3" customWidth="1"/>
    <col min="6" max="6" width="3.453125" customWidth="1"/>
    <col min="7" max="7" width="10.089843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26" ht="20.5" customHeight="1" x14ac:dyDescent="0.25">
      <c r="A1" s="26" t="s">
        <v>31</v>
      </c>
      <c r="B1" s="18" t="s">
        <v>32</v>
      </c>
      <c r="D1" s="106" t="s">
        <v>13</v>
      </c>
      <c r="E1" s="106"/>
      <c r="G1" s="106" t="s">
        <v>35</v>
      </c>
      <c r="H1" s="106"/>
      <c r="I1" s="106"/>
      <c r="J1" s="106"/>
      <c r="K1" s="25"/>
      <c r="Z1" s="93"/>
    </row>
    <row r="2" spans="1:26" x14ac:dyDescent="0.25">
      <c r="A2" s="41"/>
      <c r="B2" s="42"/>
      <c r="D2" s="108" t="s">
        <v>34</v>
      </c>
      <c r="E2" s="108"/>
      <c r="G2" s="107" t="str">
        <f>$E$5&amp;" months:"</f>
        <v>6 months:</v>
      </c>
      <c r="H2" s="107"/>
      <c r="I2" s="107"/>
      <c r="J2" s="107"/>
      <c r="K2" s="25"/>
    </row>
    <row r="3" spans="1:26" x14ac:dyDescent="0.25">
      <c r="G3" s="111">
        <f ca="1">TODAY()-ROUNDDOWN(($E$5/12*365),0)</f>
        <v>46028</v>
      </c>
      <c r="H3" s="111"/>
      <c r="I3" s="111"/>
      <c r="J3" s="111"/>
    </row>
    <row r="5" spans="1:26" ht="12.65" customHeight="1" x14ac:dyDescent="0.25">
      <c r="D5" s="54" t="s">
        <v>33</v>
      </c>
      <c r="E5" s="53">
        <v>6</v>
      </c>
      <c r="G5" s="109" t="s">
        <v>36</v>
      </c>
      <c r="H5" s="24"/>
      <c r="I5" s="30"/>
      <c r="J5" s="30"/>
    </row>
    <row r="6" spans="1:26" x14ac:dyDescent="0.25">
      <c r="G6" s="110"/>
      <c r="H6" s="110" t="str">
        <f>$E$5&amp;" months"</f>
        <v>6 months</v>
      </c>
      <c r="I6" s="110"/>
      <c r="J6" s="110"/>
    </row>
    <row r="7" spans="1:26" ht="12.65" customHeight="1" x14ac:dyDescent="0.25">
      <c r="G7" s="31">
        <v>1</v>
      </c>
      <c r="H7" s="20">
        <v>12</v>
      </c>
      <c r="I7" s="21" t="s">
        <v>37</v>
      </c>
      <c r="J7" s="23">
        <f t="shared" ref="J7:J18" si="0">IF(H7&lt;$E$5,H7+(12-$E$5+1),H7-($E$5-1))</f>
        <v>7</v>
      </c>
    </row>
    <row r="8" spans="1:26" ht="12.5" customHeight="1" x14ac:dyDescent="0.25">
      <c r="D8" s="107" t="str">
        <f>CSMonths &amp;" month total:"</f>
        <v>6 month total:</v>
      </c>
      <c r="E8" s="107"/>
      <c r="F8" s="19"/>
      <c r="G8" s="31">
        <v>2</v>
      </c>
      <c r="H8" s="20">
        <v>1</v>
      </c>
      <c r="I8" s="21" t="s">
        <v>37</v>
      </c>
      <c r="J8" s="23">
        <f t="shared" si="0"/>
        <v>8</v>
      </c>
    </row>
    <row r="9" spans="1:26" x14ac:dyDescent="0.25">
      <c r="D9" s="113">
        <f>SUM(B2:B132)</f>
        <v>0</v>
      </c>
      <c r="E9" s="114"/>
      <c r="G9" s="31">
        <v>3</v>
      </c>
      <c r="H9" s="20">
        <v>2</v>
      </c>
      <c r="I9" s="21" t="s">
        <v>37</v>
      </c>
      <c r="J9" s="23">
        <f t="shared" si="0"/>
        <v>9</v>
      </c>
    </row>
    <row r="10" spans="1:26" x14ac:dyDescent="0.25">
      <c r="G10" s="31">
        <v>4</v>
      </c>
      <c r="H10" s="20">
        <v>3</v>
      </c>
      <c r="I10" s="21" t="s">
        <v>37</v>
      </c>
      <c r="J10" s="23">
        <f t="shared" si="0"/>
        <v>10</v>
      </c>
    </row>
    <row r="11" spans="1:26" x14ac:dyDescent="0.25">
      <c r="D11" s="106" t="str">
        <f>IF(D8="12 Month Total:","","Annualized:")</f>
        <v>Annualized:</v>
      </c>
      <c r="E11" s="106"/>
      <c r="G11" s="31">
        <v>5</v>
      </c>
      <c r="H11" s="20">
        <v>4</v>
      </c>
      <c r="I11" s="21" t="s">
        <v>37</v>
      </c>
      <c r="J11" s="23">
        <f t="shared" si="0"/>
        <v>11</v>
      </c>
    </row>
    <row r="12" spans="1:26" x14ac:dyDescent="0.25">
      <c r="D12" s="112">
        <f>IF(D11&lt;&gt;"", D9/E5*12, "")</f>
        <v>0</v>
      </c>
      <c r="E12" s="112"/>
      <c r="G12" s="31">
        <v>6</v>
      </c>
      <c r="H12" s="20">
        <v>5</v>
      </c>
      <c r="I12" s="21" t="s">
        <v>37</v>
      </c>
      <c r="J12" s="23">
        <f t="shared" si="0"/>
        <v>12</v>
      </c>
    </row>
    <row r="13" spans="1:26" x14ac:dyDescent="0.25">
      <c r="G13" s="31">
        <v>7</v>
      </c>
      <c r="H13" s="20">
        <v>6</v>
      </c>
      <c r="I13" s="21" t="s">
        <v>37</v>
      </c>
      <c r="J13" s="23">
        <f t="shared" si="0"/>
        <v>1</v>
      </c>
    </row>
    <row r="14" spans="1:26" x14ac:dyDescent="0.25">
      <c r="G14" s="31">
        <v>8</v>
      </c>
      <c r="H14" s="20">
        <v>7</v>
      </c>
      <c r="I14" s="21" t="s">
        <v>37</v>
      </c>
      <c r="J14" s="23">
        <f t="shared" si="0"/>
        <v>2</v>
      </c>
    </row>
    <row r="15" spans="1:26" x14ac:dyDescent="0.25">
      <c r="G15" s="31">
        <v>9</v>
      </c>
      <c r="H15" s="20">
        <v>8</v>
      </c>
      <c r="I15" s="21" t="s">
        <v>37</v>
      </c>
      <c r="J15" s="23">
        <f t="shared" si="0"/>
        <v>3</v>
      </c>
    </row>
    <row r="16" spans="1:26" x14ac:dyDescent="0.25">
      <c r="G16" s="31">
        <v>10</v>
      </c>
      <c r="H16" s="20">
        <v>9</v>
      </c>
      <c r="I16" s="21" t="s">
        <v>37</v>
      </c>
      <c r="J16" s="23">
        <f t="shared" si="0"/>
        <v>4</v>
      </c>
    </row>
    <row r="17" spans="7:10" x14ac:dyDescent="0.25">
      <c r="G17" s="31">
        <v>11</v>
      </c>
      <c r="H17" s="20">
        <v>10</v>
      </c>
      <c r="I17" s="21" t="s">
        <v>37</v>
      </c>
      <c r="J17" s="23">
        <f t="shared" si="0"/>
        <v>5</v>
      </c>
    </row>
    <row r="18" spans="7:10" x14ac:dyDescent="0.25">
      <c r="G18" s="31">
        <v>12</v>
      </c>
      <c r="H18" s="20">
        <v>11</v>
      </c>
      <c r="I18" s="21" t="s">
        <v>37</v>
      </c>
      <c r="J18" s="23">
        <f t="shared" si="0"/>
        <v>6</v>
      </c>
    </row>
    <row r="21" spans="7:10" ht="12.65" customHeight="1" x14ac:dyDescent="0.25">
      <c r="G21" s="104" t="s">
        <v>55</v>
      </c>
      <c r="H21" s="104"/>
      <c r="I21" s="104"/>
      <c r="J21" s="104"/>
    </row>
    <row r="22" spans="7:10" ht="12.65" customHeight="1" x14ac:dyDescent="0.25">
      <c r="G22" s="20"/>
      <c r="H22" s="20"/>
      <c r="I22" s="22"/>
    </row>
    <row r="23" spans="7:10" x14ac:dyDescent="0.25">
      <c r="G23" s="27"/>
      <c r="H23" s="28"/>
      <c r="I23" s="29"/>
      <c r="J23" s="29"/>
    </row>
    <row r="24" spans="7:10" x14ac:dyDescent="0.25">
      <c r="G24" s="27"/>
      <c r="H24" s="28"/>
      <c r="I24" s="29"/>
      <c r="J24" s="29"/>
    </row>
    <row r="25" spans="7:10" x14ac:dyDescent="0.25">
      <c r="G25" s="20"/>
      <c r="H25" s="20"/>
      <c r="I25" s="21"/>
      <c r="J25" s="23"/>
    </row>
    <row r="26" spans="7:10" x14ac:dyDescent="0.25">
      <c r="G26" s="20"/>
      <c r="H26" s="20"/>
      <c r="I26" s="21"/>
      <c r="J26" s="23"/>
    </row>
    <row r="27" spans="7:10" x14ac:dyDescent="0.25">
      <c r="G27" s="20"/>
      <c r="H27" s="20"/>
      <c r="I27" s="21"/>
      <c r="J27" s="23"/>
    </row>
    <row r="28" spans="7:10" x14ac:dyDescent="0.25">
      <c r="G28" s="20"/>
      <c r="H28" s="20"/>
      <c r="I28" s="21"/>
      <c r="J28" s="23"/>
    </row>
    <row r="29" spans="7:10" x14ac:dyDescent="0.25">
      <c r="G29" s="20"/>
      <c r="H29" s="20"/>
      <c r="I29" s="21"/>
      <c r="J29" s="23"/>
    </row>
    <row r="30" spans="7:10" x14ac:dyDescent="0.25">
      <c r="G30" s="105" t="str">
        <f>IF(CSEntriesSum&lt;&gt;0,IF(AND(CSSumCalc &lt;&gt; 0, CSMonths &lt;&gt; 12), CSMonths &amp; " month total: " &amp; TEXT(D9,"$0.00") &amp; ". Annualized: " &amp; TEXT(CSSumCalc, "$0.00") &amp; ".", CSMonths &amp; " month total: " &amp; TEXT(D9,"$0.00")), "")</f>
        <v/>
      </c>
      <c r="H30" s="105"/>
      <c r="I30" s="105"/>
      <c r="J30" s="105"/>
    </row>
    <row r="31" spans="7:10" x14ac:dyDescent="0.25">
      <c r="G31" s="105"/>
      <c r="H31" s="105"/>
      <c r="I31" s="105"/>
      <c r="J31" s="105"/>
    </row>
    <row r="32" spans="7:10" x14ac:dyDescent="0.25">
      <c r="G32" s="20"/>
      <c r="H32" s="20"/>
      <c r="I32" s="21"/>
      <c r="J32" s="23"/>
    </row>
  </sheetData>
  <sheetProtection sheet="1" objects="1" scenarios="1"/>
  <mergeCells count="13">
    <mergeCell ref="G21:J21"/>
    <mergeCell ref="G30:J31"/>
    <mergeCell ref="D11:E11"/>
    <mergeCell ref="D8:E8"/>
    <mergeCell ref="D1:E1"/>
    <mergeCell ref="D2:E2"/>
    <mergeCell ref="G1:J1"/>
    <mergeCell ref="G5:G6"/>
    <mergeCell ref="H6:J6"/>
    <mergeCell ref="G3:J3"/>
    <mergeCell ref="G2:J2"/>
    <mergeCell ref="D12:E12"/>
    <mergeCell ref="D9:E9"/>
  </mergeCells>
  <conditionalFormatting sqref="A30:A102 A2:A27">
    <cfRule type="expression" dxfId="7" priority="5">
      <formula>AND(A1&lt;&gt;"", A2="")</formula>
    </cfRule>
  </conditionalFormatting>
  <conditionalFormatting sqref="A2:E102">
    <cfRule type="expression" priority="4" stopIfTrue="1">
      <formula>($Z$1="Printing")</formula>
    </cfRule>
  </conditionalFormatting>
  <conditionalFormatting sqref="D12:E12">
    <cfRule type="expression" dxfId="6" priority="2">
      <formula>$E$5&lt;&gt;12</formula>
    </cfRule>
  </conditionalFormatting>
  <conditionalFormatting sqref="A29">
    <cfRule type="expression" dxfId="5" priority="7">
      <formula>AND(A26&lt;&gt;"", A29="")</formula>
    </cfRule>
  </conditionalFormatting>
  <conditionalFormatting sqref="A28">
    <cfRule type="expression" dxfId="4" priority="9">
      <formula>AND(A26&lt;&gt;"", A28="")</formula>
    </cfRule>
  </conditionalFormatting>
  <conditionalFormatting sqref="G7:G18">
    <cfRule type="expression" dxfId="3" priority="1">
      <formula>G7=MONTH(TODAY())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>
                  <from>
                    <xdr:col>6</xdr:col>
                    <xdr:colOff>133350</xdr:colOff>
                    <xdr:row>23</xdr:row>
                    <xdr:rowOff>19050</xdr:rowOff>
                  </from>
                  <to>
                    <xdr:col>9</xdr:col>
                    <xdr:colOff>165100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ClearAll">
                <anchor>
                  <from>
                    <xdr:col>6</xdr:col>
                    <xdr:colOff>120650</xdr:colOff>
                    <xdr:row>26</xdr:row>
                    <xdr:rowOff>12700</xdr:rowOff>
                  </from>
                  <to>
                    <xdr:col>9</xdr:col>
                    <xdr:colOff>152400</xdr:colOff>
                    <xdr:row>28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Z26"/>
  <sheetViews>
    <sheetView zoomScaleNormal="100" workbookViewId="0">
      <selection activeCell="A4" sqref="A4:B4"/>
    </sheetView>
  </sheetViews>
  <sheetFormatPr defaultRowHeight="12.5" x14ac:dyDescent="0.25"/>
  <cols>
    <col min="1" max="1" width="22" customWidth="1"/>
    <col min="2" max="2" width="10.81640625" customWidth="1"/>
    <col min="3" max="3" width="4.1796875" customWidth="1"/>
    <col min="4" max="4" width="21.54296875" customWidth="1"/>
    <col min="5" max="5" width="10.7265625" customWidth="1"/>
  </cols>
  <sheetData>
    <row r="1" spans="1:26" x14ac:dyDescent="0.25">
      <c r="A1" s="106" t="s">
        <v>38</v>
      </c>
      <c r="B1" s="106"/>
      <c r="C1" s="106"/>
      <c r="D1" s="106"/>
      <c r="E1" s="106"/>
      <c r="Z1" s="93"/>
    </row>
    <row r="2" spans="1:26" x14ac:dyDescent="0.25">
      <c r="C2" s="15"/>
    </row>
    <row r="3" spans="1:26" x14ac:dyDescent="0.25">
      <c r="C3" s="15"/>
    </row>
    <row r="4" spans="1:26" x14ac:dyDescent="0.25">
      <c r="A4" s="108" t="s">
        <v>39</v>
      </c>
      <c r="B4" s="108"/>
      <c r="C4" s="15"/>
      <c r="D4" s="108" t="s">
        <v>39</v>
      </c>
      <c r="E4" s="108"/>
    </row>
    <row r="6" spans="1:26" x14ac:dyDescent="0.25">
      <c r="A6" t="s">
        <v>40</v>
      </c>
      <c r="B6" s="45"/>
      <c r="D6" t="s">
        <v>40</v>
      </c>
      <c r="E6" s="45"/>
    </row>
    <row r="7" spans="1:26" x14ac:dyDescent="0.25">
      <c r="A7" t="s">
        <v>41</v>
      </c>
      <c r="B7" s="46"/>
      <c r="D7" t="s">
        <v>41</v>
      </c>
      <c r="E7" s="46"/>
    </row>
    <row r="8" spans="1:26" x14ac:dyDescent="0.25">
      <c r="A8" t="s">
        <v>42</v>
      </c>
      <c r="B8" s="47"/>
      <c r="D8" t="s">
        <v>42</v>
      </c>
      <c r="E8" s="47"/>
    </row>
    <row r="10" spans="1:26" x14ac:dyDescent="0.25">
      <c r="A10" t="s">
        <v>43</v>
      </c>
      <c r="B10" s="17" t="str">
        <f>IF(COUNTA(B7:B8) = 2, B8/B7, "")</f>
        <v/>
      </c>
      <c r="D10" t="s">
        <v>43</v>
      </c>
      <c r="E10" s="17" t="str">
        <f>IF(COUNTA(E7:E8) = 2, E8/E7, "")</f>
        <v/>
      </c>
    </row>
    <row r="11" spans="1:26" x14ac:dyDescent="0.25">
      <c r="A11" t="s">
        <v>44</v>
      </c>
      <c r="B11" s="16" t="str">
        <f>IF(B10 &lt;&gt; "", B6+(B10*7), "")</f>
        <v/>
      </c>
      <c r="D11" t="s">
        <v>44</v>
      </c>
      <c r="E11" s="16" t="str">
        <f>IF(E10 &lt;&gt; "", E6+(E10*7), "")</f>
        <v/>
      </c>
    </row>
    <row r="25" spans="1:5" x14ac:dyDescent="0.25">
      <c r="A25" s="98" t="str">
        <f>IF(A4&lt;&gt;"[Recipient Name]", A4&amp;" - ", "")&amp;IF(B11 &lt;&gt; "", "UI: "&amp;TEXT(B7, "$0")&amp;"/wk. Balance of "&amp; TEXT(B8, "$0")&amp;" as of "&amp;TEXT(B6, "M/D/YY")&amp;". Funds expended "&amp;TEXT(B11, "M/D/YY")&amp;".", "")</f>
        <v/>
      </c>
      <c r="B25" s="98"/>
      <c r="C25" s="98"/>
      <c r="D25" s="98"/>
      <c r="E25" s="98"/>
    </row>
    <row r="26" spans="1:5" x14ac:dyDescent="0.25">
      <c r="A26" s="98" t="str">
        <f>IF(D4&lt;&gt;"[Recipient Name]", D4&amp;" - ", "")&amp;IF(E11 &lt;&gt; "", "UI: "&amp;TEXT(E7, "$0")&amp;"/wk. Balance of "&amp; TEXT(E8, "$0")&amp;" as of "&amp;TEXT(E6, "M/D/YY")&amp;". Funds expended "&amp;TEXT(E11, "M/D/YY")&amp;".", "")</f>
        <v/>
      </c>
      <c r="B26" s="98"/>
      <c r="C26" s="98"/>
      <c r="D26" s="98"/>
      <c r="E26" s="98"/>
    </row>
  </sheetData>
  <sheetProtection sheet="1" objects="1" scenarios="1"/>
  <mergeCells count="5">
    <mergeCell ref="A25:E25"/>
    <mergeCell ref="A26:E26"/>
    <mergeCell ref="A4:B4"/>
    <mergeCell ref="D4:E4"/>
    <mergeCell ref="A1:E1"/>
  </mergeCells>
  <conditionalFormatting sqref="A4:B4 D4:E4 B6:B8 E6:E8">
    <cfRule type="expression" priority="1" stopIfTrue="1">
      <formula>($Z$1="Printing")</formula>
    </cfRule>
  </conditionalFormatting>
  <conditionalFormatting sqref="A4:B4 D4:E4 B6:B8 E6:E8">
    <cfRule type="expression" dxfId="2" priority="3">
      <formula>CELL("protect",A4)=0</formula>
    </cfRule>
  </conditionalFormatting>
  <printOptions horizontalCentered="1"/>
  <pageMargins left="0.7" right="0.7" top="2" bottom="0.75" header="0.3" footer="0.3"/>
  <pageSetup orientation="portrait" horizontalDpi="300" verticalDpi="300" r:id="rId1"/>
  <headerFooter>
    <oddHeader>&amp;CPrepared on &amp;D</oddHeader>
    <oddFooter>&amp;CPrepared on &amp;D</oddFooter>
  </headerFooter>
  <ignoredErrors>
    <ignoredError sqref="B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ClearAll">
                <anchor>
                  <from>
                    <xdr:col>3</xdr:col>
                    <xdr:colOff>762000</xdr:colOff>
                    <xdr:row>29</xdr:row>
                    <xdr:rowOff>76200</xdr:rowOff>
                  </from>
                  <to>
                    <xdr:col>4</xdr:col>
                    <xdr:colOff>501650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Person1">
                <anchor>
                  <from>
                    <xdr:col>0</xdr:col>
                    <xdr:colOff>50800</xdr:colOff>
                    <xdr:row>28</xdr:row>
                    <xdr:rowOff>19050</xdr:rowOff>
                  </from>
                  <to>
                    <xdr:col>0</xdr:col>
                    <xdr:colOff>1295400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6" name="Button 13">
              <controlPr defaultSize="0" print="0" autoFill="0" autoPict="0" macro="[0]!Person2">
                <anchor>
                  <from>
                    <xdr:col>1</xdr:col>
                    <xdr:colOff>57150</xdr:colOff>
                    <xdr:row>28</xdr:row>
                    <xdr:rowOff>19050</xdr:rowOff>
                  </from>
                  <to>
                    <xdr:col>3</xdr:col>
                    <xdr:colOff>254000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Button 14">
              <controlPr defaultSize="0" print="0" autoFill="0" autoPict="0" macro="[0]!CopyIncome">
                <anchor>
                  <from>
                    <xdr:col>0</xdr:col>
                    <xdr:colOff>50800</xdr:colOff>
                    <xdr:row>31</xdr:row>
                    <xdr:rowOff>0</xdr:rowOff>
                  </from>
                  <to>
                    <xdr:col>0</xdr:col>
                    <xdr:colOff>1295400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Button 15">
              <controlPr defaultSize="0" print="0" autoFill="0" autoPict="0" macro="[0]!CopyExpense">
                <anchor>
                  <from>
                    <xdr:col>1</xdr:col>
                    <xdr:colOff>50800</xdr:colOff>
                    <xdr:row>31</xdr:row>
                    <xdr:rowOff>0</xdr:rowOff>
                  </from>
                  <to>
                    <xdr:col>3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44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36328125" customWidth="1"/>
    <col min="8" max="8" width="7.90625" bestFit="1" customWidth="1"/>
  </cols>
  <sheetData>
    <row r="1" spans="2:26" ht="23" customHeight="1" x14ac:dyDescent="0.25">
      <c r="B1" s="108" t="s">
        <v>46</v>
      </c>
      <c r="C1" s="108"/>
      <c r="D1" s="108"/>
      <c r="E1" s="108"/>
      <c r="Z1" s="93"/>
    </row>
    <row r="2" spans="2:26" x14ac:dyDescent="0.25">
      <c r="E2" s="7"/>
    </row>
    <row r="3" spans="2:26" x14ac:dyDescent="0.25">
      <c r="B3" s="108" t="s">
        <v>27</v>
      </c>
      <c r="C3" s="108"/>
      <c r="D3" s="108"/>
      <c r="E3" s="108"/>
    </row>
    <row r="4" spans="2:26" x14ac:dyDescent="0.25">
      <c r="E4" s="7"/>
    </row>
    <row r="5" spans="2:26" x14ac:dyDescent="0.25">
      <c r="B5" s="115" t="s">
        <v>28</v>
      </c>
      <c r="C5" s="116"/>
      <c r="D5" s="117"/>
      <c r="E5" s="48">
        <v>42005</v>
      </c>
    </row>
    <row r="6" spans="2:26" x14ac:dyDescent="0.25">
      <c r="E6" s="7"/>
    </row>
    <row r="7" spans="2:26" x14ac:dyDescent="0.25">
      <c r="B7" s="115" t="s">
        <v>29</v>
      </c>
      <c r="C7" s="116"/>
      <c r="D7" s="117"/>
      <c r="E7" s="49"/>
    </row>
    <row r="8" spans="2:26" x14ac:dyDescent="0.25">
      <c r="E8" s="7"/>
    </row>
    <row r="9" spans="2:26" x14ac:dyDescent="0.25">
      <c r="B9" s="115" t="s">
        <v>30</v>
      </c>
      <c r="C9" s="116"/>
      <c r="D9" s="117"/>
      <c r="E9" s="8" t="str" cm="1">
        <f t="array" ref="E9">_xlfn.LET(
_xlpm.periodType,MID(B1,23,12),
_xlpm.daysInPeriod,_xlfn.SWITCH(_xlpm.periodType, "Biweekly",14, "Weekly",7),
_xlpm.periodsInYear,_xlfn.SWITCH(_xlpm.periodType, "Biweekly",26, "Weekly",52, "Semimonthly",24),
IF(YTDperiodsCounted&gt;0, SUM(E7/ROUND(YTDperiodsCounted,2)*_xlpm.periodsInYear)*IF($D40&lt;&gt;"",$D40, 1)*IF($D37&lt;&gt;"", $D37, 1), "")
)</f>
        <v/>
      </c>
    </row>
    <row r="10" spans="2:26" x14ac:dyDescent="0.25">
      <c r="D10" s="7"/>
    </row>
    <row r="17" spans="1:8" x14ac:dyDescent="0.25">
      <c r="D17" s="9"/>
    </row>
    <row r="18" spans="1:8" x14ac:dyDescent="0.25">
      <c r="A18" s="4" t="s">
        <v>5</v>
      </c>
      <c r="B18" s="10" t="s">
        <v>6</v>
      </c>
      <c r="C18" s="10" t="s">
        <v>26</v>
      </c>
      <c r="D18" s="32" t="s">
        <v>8</v>
      </c>
      <c r="E18" s="77" t="s">
        <v>7</v>
      </c>
      <c r="F18" s="10" t="s">
        <v>9</v>
      </c>
    </row>
    <row r="19" spans="1:8" x14ac:dyDescent="0.25">
      <c r="A19" s="5" t="s">
        <v>10</v>
      </c>
      <c r="B19" s="62"/>
      <c r="C19" s="63"/>
      <c r="D19" s="63"/>
      <c r="E19" s="78"/>
      <c r="F19" s="81" t="str">
        <f>IF(COUNTA(B19:E19),SUM(B19*26+C19*52+D19*24+E19*12), "")</f>
        <v/>
      </c>
    </row>
    <row r="20" spans="1:8" x14ac:dyDescent="0.25">
      <c r="A20" s="4" t="s">
        <v>11</v>
      </c>
      <c r="B20" s="64"/>
      <c r="C20" s="65"/>
      <c r="D20" s="65"/>
      <c r="E20" s="79"/>
      <c r="F20" s="82" t="str">
        <f>IF(COUNTA(B20:E20),SUM(B20*26+C20*52+D20*24+E20*12), "")</f>
        <v/>
      </c>
    </row>
    <row r="21" spans="1:8" x14ac:dyDescent="0.25">
      <c r="A21" s="4" t="s">
        <v>12</v>
      </c>
      <c r="B21" s="64"/>
      <c r="C21" s="65"/>
      <c r="D21" s="65"/>
      <c r="E21" s="79"/>
      <c r="F21" s="82" t="str">
        <f>IF(COUNTA(B21:E21),SUM(B21*26+C21*52+D21*24+E21*12), "")</f>
        <v/>
      </c>
    </row>
    <row r="22" spans="1:8" x14ac:dyDescent="0.25">
      <c r="A22" s="4" t="s">
        <v>13</v>
      </c>
      <c r="B22" s="64"/>
      <c r="C22" s="65"/>
      <c r="D22" s="65"/>
      <c r="E22" s="79"/>
      <c r="F22" s="82" t="str">
        <f>IF(COUNTA(B22:E22),SUM(B22*26+C22*52+D22*24+E22*12), "")</f>
        <v/>
      </c>
    </row>
    <row r="23" spans="1:8" x14ac:dyDescent="0.25">
      <c r="A23" s="4" t="s">
        <v>14</v>
      </c>
      <c r="B23" s="66"/>
      <c r="C23" s="67"/>
      <c r="D23" s="67"/>
      <c r="E23" s="80"/>
      <c r="F23" s="83" t="str">
        <f>IF(COUNTA(B23:E23),SUM(B23*26+C23*52+D23*24+E23*12), "")</f>
        <v/>
      </c>
    </row>
    <row r="25" spans="1:8" ht="13" x14ac:dyDescent="0.3">
      <c r="A25" s="118" t="str">
        <f>IF(B3&lt;&gt;"Name - Employer",_xlfn.TEXTJOIN(" ",TRUE,B3&amp;": YTD as of "&amp;TEXT(E5,"m/d/yy")&amp;": $"&amp;TEXT(E7,"0.00")&amp;"; annual @ "&amp;TEXT(E9,"0.00"),B42,B44),"")</f>
        <v/>
      </c>
      <c r="B25" s="118"/>
      <c r="C25" s="118"/>
      <c r="D25" s="118"/>
      <c r="E25" s="118"/>
      <c r="F25" s="118"/>
      <c r="G25" s="118"/>
      <c r="H25" s="11"/>
    </row>
    <row r="26" spans="1:8" ht="13" x14ac:dyDescent="0.3">
      <c r="A26" s="118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8"/>
      <c r="C26" s="118"/>
      <c r="D26" s="118"/>
      <c r="E26" s="118"/>
      <c r="F26" s="118"/>
      <c r="G26" s="118"/>
      <c r="H26" s="11"/>
    </row>
    <row r="27" spans="1:8" x14ac:dyDescent="0.25">
      <c r="A27" s="14" t="str">
        <f>IF(DATEDIF(DATE(YEAR(E5),1,1),E5,"d")/14+1 &gt; 26.999, ROUNDDOWN(DATEDIF(DATE(YEAR(E5),1,1),E5,"d")/14+1,0) &amp; " paydates this year. Use YTD from paystub; spreadsheet will be inaccurate", "")</f>
        <v/>
      </c>
    </row>
    <row r="28" spans="1:8" x14ac:dyDescent="0.25">
      <c r="A28" s="14"/>
      <c r="B28" cm="1">
        <f t="array" ref="B28">_xlfn.LET(
_xlpm.periodType,MID(B1,23,12),
_xlpm.daysInPeriod,_xlfn.SWITCH(_xlpm.periodType, "Biweekly",14, "Weekly",7),
_xlpm.dateDiff,DATEDIF(DATE(YEAR(E5),1,1),E5,"d"),
_xlpm.periodsCounted,IF(_xlpm.periodType="Semimonthly", ((MONTH(E5)-1)*2)+ROUNDUP(DAY(E5)/16, 0), ROUNDDOWN(_xlpm.dateDiff/_xlpm.daysInPeriod+1,0)),
IF(AND($E$5&lt;&gt;42005,_xlpm.periodsCounted&gt;0), _xlpm.periodsCounted, 0)
)</f>
        <v>0</v>
      </c>
      <c r="C28" t="s">
        <v>56</v>
      </c>
      <c r="D28" s="97" t="s">
        <v>57</v>
      </c>
      <c r="E28" s="19" t="str" cm="1">
        <f t="array" ref="E28">_xlfn.LET(
_xlpm.periodType,MID(B1,23,12),
_xlpm.periodsInYear,_xlfn.SWITCH(_xlpm.periodType, "Biweekly",26, "Weekly",52, "Semimonthly",24),
IF(E9&lt;&gt;"", E9/_xlpm.periodsInYear, "")
)</f>
        <v/>
      </c>
    </row>
    <row r="36" spans="1:5" x14ac:dyDescent="0.25">
      <c r="A36" s="50" t="s">
        <v>48</v>
      </c>
      <c r="B36" s="51" t="s">
        <v>16</v>
      </c>
      <c r="C36" s="51" t="s">
        <v>17</v>
      </c>
      <c r="D36" s="51" t="s">
        <v>18</v>
      </c>
    </row>
    <row r="37" spans="1:5" x14ac:dyDescent="0.25">
      <c r="A37" s="4" t="s">
        <v>19</v>
      </c>
      <c r="B37" s="72"/>
      <c r="C37" s="90"/>
      <c r="D37" s="91" t="str">
        <f>IF(COUNTA(B37),B37/52,IF(COUNTA(C37),C37/12,""))</f>
        <v/>
      </c>
    </row>
    <row r="39" spans="1:5" x14ac:dyDescent="0.25">
      <c r="A39" s="50" t="s">
        <v>21</v>
      </c>
      <c r="B39" s="51" t="s">
        <v>58</v>
      </c>
      <c r="C39" s="51" t="s">
        <v>59</v>
      </c>
      <c r="D39" s="51" t="s">
        <v>18</v>
      </c>
    </row>
    <row r="40" spans="1:5" x14ac:dyDescent="0.25">
      <c r="A40" s="4" t="s">
        <v>19</v>
      </c>
      <c r="B40" s="72"/>
      <c r="C40" s="90"/>
      <c r="D40" s="91" t="str">
        <f>IF(COUNTA(B40, C40)=2, (1-((DATEDIF(B40,C40,"d")+1)/365)), "")</f>
        <v/>
      </c>
    </row>
    <row r="42" spans="1:5" x14ac:dyDescent="0.25">
      <c r="A42" t="s">
        <v>22</v>
      </c>
      <c r="B42" s="98" t="str">
        <f>IF(D37&lt;&gt;"",IF(COUNTA(B37),"(contract: "&amp; B37 &amp;"/52 weeks)","(contract: "&amp;C37&amp;"/12 months)"),"")</f>
        <v/>
      </c>
      <c r="C42" s="98"/>
      <c r="D42" s="98"/>
      <c r="E42" s="98"/>
    </row>
    <row r="44" spans="1:5" x14ac:dyDescent="0.25">
      <c r="A44" t="s">
        <v>24</v>
      </c>
      <c r="B44" s="98" t="str">
        <f>IF(D40&lt;&gt;"","(Leave: "&amp;(DATEDIF(B40,C40,"d")+1)&amp;" days)","")</f>
        <v/>
      </c>
      <c r="C44" s="98"/>
      <c r="D44" s="98"/>
      <c r="E44" s="98"/>
    </row>
  </sheetData>
  <sheetProtection sheet="1" objects="1" scenarios="1"/>
  <mergeCells count="9">
    <mergeCell ref="B44:E44"/>
    <mergeCell ref="B42:E42"/>
    <mergeCell ref="B1:E1"/>
    <mergeCell ref="B3:E3"/>
    <mergeCell ref="B5:D5"/>
    <mergeCell ref="B7:D7"/>
    <mergeCell ref="B9:D9"/>
    <mergeCell ref="A25:G25"/>
    <mergeCell ref="A26:G26"/>
  </mergeCells>
  <conditionalFormatting sqref="B1 B3 E5 E7 B19:E23 B37:C37 B40:C40">
    <cfRule type="expression" priority="1" stopIfTrue="1">
      <formula>$Z$1="Printing"</formula>
    </cfRule>
    <cfRule type="expression" dxfId="1" priority="2">
      <formula>CELL("protect",B1)=0</formula>
    </cfRule>
  </conditionalFormatting>
  <dataValidations count="2">
    <dataValidation type="list" allowBlank="1" showInputMessage="1" showErrorMessage="1" sqref="D18" xr:uid="{71B4731F-5262-4D8A-A2CC-EEDD81944E68}">
      <formula1>"Once Monthly, Twice Monthly"</formula1>
    </dataValidation>
    <dataValidation type="list" allowBlank="1" showInputMessage="1" showErrorMessage="1" sqref="B1:E1" xr:uid="{8254DA4F-DA0D-400F-A36C-CEE09A0C7EF0}">
      <formula1>"Year-to-Date Income - Biweekly, Year-to-Date Income - Weekly, Year-to-Date Income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95250</xdr:rowOff>
                  </from>
                  <to>
                    <xdr:col>5</xdr:col>
                    <xdr:colOff>336550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1</xdr:col>
                    <xdr:colOff>292100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1</xdr:col>
                    <xdr:colOff>292100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19050</xdr:rowOff>
                  </from>
                  <to>
                    <xdr:col>3</xdr:col>
                    <xdr:colOff>203200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44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26953125" customWidth="1"/>
  </cols>
  <sheetData>
    <row r="1" spans="2:26" ht="23" customHeight="1" x14ac:dyDescent="0.25">
      <c r="B1" s="108" t="s">
        <v>47</v>
      </c>
      <c r="C1" s="108"/>
      <c r="D1" s="108"/>
      <c r="E1" s="108"/>
      <c r="Z1" s="93"/>
    </row>
    <row r="2" spans="2:26" x14ac:dyDescent="0.25">
      <c r="E2" s="7"/>
    </row>
    <row r="3" spans="2:26" x14ac:dyDescent="0.25">
      <c r="B3" s="108" t="s">
        <v>27</v>
      </c>
      <c r="C3" s="108"/>
      <c r="D3" s="108"/>
      <c r="E3" s="108"/>
    </row>
    <row r="4" spans="2:26" x14ac:dyDescent="0.25">
      <c r="E4" s="7"/>
    </row>
    <row r="5" spans="2:26" x14ac:dyDescent="0.25">
      <c r="B5" s="119" t="s">
        <v>50</v>
      </c>
      <c r="C5" s="119"/>
      <c r="D5" s="119"/>
      <c r="E5" s="45">
        <v>42005</v>
      </c>
    </row>
    <row r="6" spans="2:26" x14ac:dyDescent="0.25">
      <c r="B6" s="106"/>
      <c r="C6" s="106"/>
      <c r="D6" s="106"/>
    </row>
    <row r="7" spans="2:26" x14ac:dyDescent="0.25">
      <c r="B7" s="119" t="s">
        <v>51</v>
      </c>
      <c r="C7" s="119"/>
      <c r="D7" s="119"/>
      <c r="E7" s="40"/>
    </row>
    <row r="8" spans="2:26" x14ac:dyDescent="0.25">
      <c r="B8" s="106"/>
      <c r="C8" s="106"/>
      <c r="D8" s="106"/>
    </row>
    <row r="9" spans="2:26" x14ac:dyDescent="0.25">
      <c r="B9" s="119" t="s">
        <v>52</v>
      </c>
      <c r="C9" s="119"/>
      <c r="D9" s="119"/>
      <c r="E9" s="40"/>
    </row>
    <row r="10" spans="2:26" x14ac:dyDescent="0.25">
      <c r="B10" s="106"/>
      <c r="C10" s="106"/>
      <c r="D10" s="106"/>
    </row>
    <row r="11" spans="2:26" x14ac:dyDescent="0.25">
      <c r="B11" s="119" t="s">
        <v>53</v>
      </c>
      <c r="C11" s="119"/>
      <c r="D11" s="119"/>
      <c r="E11" s="45">
        <v>42005</v>
      </c>
    </row>
    <row r="12" spans="2:26" x14ac:dyDescent="0.25">
      <c r="B12" s="106"/>
      <c r="C12" s="106"/>
      <c r="D12" s="106"/>
    </row>
    <row r="13" spans="2:26" x14ac:dyDescent="0.25">
      <c r="B13" s="119" t="s">
        <v>54</v>
      </c>
      <c r="C13" s="119"/>
      <c r="D13" s="119"/>
      <c r="E13" s="40"/>
    </row>
    <row r="14" spans="2:26" x14ac:dyDescent="0.25">
      <c r="B14" s="106"/>
      <c r="C14" s="106"/>
      <c r="D14" s="106"/>
    </row>
    <row r="15" spans="2:26" x14ac:dyDescent="0.25">
      <c r="B15" s="119" t="s">
        <v>30</v>
      </c>
      <c r="C15" s="119"/>
      <c r="D15" s="119"/>
      <c r="E15" s="39" t="str" cm="1">
        <f t="array" ref="E15">_xlfn.LET(
_xlpm.periodType,MID(B1,40,12),
_xlpm.daysInPeriod,_xlfn.SWITCH(_xlpm.periodType, "Biweekly",14, "Weekly",7),
_xlpm.periodsInYear,_xlfn.SWITCH(_xlpm.periodType, "Biweekly",26, "Weekly",52, "Semimonthly",24),
IF(YTDRperiodsCounted&gt;0, SUM(E13/ROUND(YTDRperiodsCounted,2)*_xlpm.periodsInYear)*IF($D40&lt;&gt;"",$D40, 1)*IF($D37&lt;&gt;"", $D37, 1), "")
)</f>
        <v/>
      </c>
    </row>
    <row r="18" spans="1:11" x14ac:dyDescent="0.25">
      <c r="A18" s="4" t="s">
        <v>5</v>
      </c>
      <c r="B18" s="10" t="s">
        <v>6</v>
      </c>
      <c r="C18" s="10" t="s">
        <v>26</v>
      </c>
      <c r="D18" s="32" t="s">
        <v>8</v>
      </c>
      <c r="E18" s="10" t="s">
        <v>7</v>
      </c>
      <c r="F18" s="10" t="s">
        <v>9</v>
      </c>
    </row>
    <row r="19" spans="1:11" x14ac:dyDescent="0.25">
      <c r="A19" s="5" t="s">
        <v>10</v>
      </c>
      <c r="B19" s="62"/>
      <c r="C19" s="63"/>
      <c r="D19" s="63"/>
      <c r="E19" s="78"/>
      <c r="F19" s="81" t="str">
        <f>IF(COUNTA(B19:E19),SUM(B19*26+C19*52+D19*24+E19*12), "")</f>
        <v/>
      </c>
    </row>
    <row r="20" spans="1:11" x14ac:dyDescent="0.25">
      <c r="A20" s="4" t="s">
        <v>11</v>
      </c>
      <c r="B20" s="64"/>
      <c r="C20" s="65"/>
      <c r="D20" s="65"/>
      <c r="E20" s="79"/>
      <c r="F20" s="82" t="str">
        <f>IF(COUNTA(B20:E20),SUM(B20*26+C20*52+D20*24+E20*12), "")</f>
        <v/>
      </c>
    </row>
    <row r="21" spans="1:11" x14ac:dyDescent="0.25">
      <c r="A21" s="4" t="s">
        <v>12</v>
      </c>
      <c r="B21" s="64"/>
      <c r="C21" s="65"/>
      <c r="D21" s="65"/>
      <c r="E21" s="79"/>
      <c r="F21" s="82" t="str">
        <f>IF(COUNTA(B21:E21),SUM(B21*26+C21*52+D21*24+E21*12), "")</f>
        <v/>
      </c>
    </row>
    <row r="22" spans="1:11" x14ac:dyDescent="0.25">
      <c r="A22" s="4" t="s">
        <v>13</v>
      </c>
      <c r="B22" s="64"/>
      <c r="C22" s="65"/>
      <c r="D22" s="65"/>
      <c r="E22" s="79"/>
      <c r="F22" s="82" t="str">
        <f>IF(COUNTA(B22:E22),SUM(B22*26+C22*52+D22*24+E22*12), "")</f>
        <v/>
      </c>
    </row>
    <row r="23" spans="1:11" x14ac:dyDescent="0.25">
      <c r="A23" s="4" t="s">
        <v>14</v>
      </c>
      <c r="B23" s="66"/>
      <c r="C23" s="67"/>
      <c r="D23" s="67"/>
      <c r="E23" s="80"/>
      <c r="F23" s="83" t="str">
        <f>IF(COUNTA(B23:E23),SUM(B23*26+C23*52+D23*24+E23*12), "")</f>
        <v/>
      </c>
    </row>
    <row r="25" spans="1:11" ht="13" x14ac:dyDescent="0.3">
      <c r="A25" s="118" t="str">
        <f>IF(B3&lt;&gt;"Name - Employer", _xlfn.TEXTJOIN(" ",TRUE,B3&amp;": YTD from "&amp;TEXT(E5,"m/d/yy")&amp;" to "&amp;TEXT(E11,"m/d/yy")&amp;": $"&amp;SUM(E13-(E7-E9))&amp;"; annual @ "&amp;TEXT(E15,"0.00"), B42, B44), "")</f>
        <v/>
      </c>
      <c r="B25" s="118"/>
      <c r="C25" s="118"/>
      <c r="D25" s="118"/>
      <c r="E25" s="118"/>
      <c r="F25" s="118"/>
      <c r="G25" s="118"/>
    </row>
    <row r="26" spans="1:11" ht="13" x14ac:dyDescent="0.3">
      <c r="A26" s="118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8"/>
      <c r="C26" s="118"/>
      <c r="D26" s="118"/>
      <c r="E26" s="118"/>
      <c r="F26" s="118"/>
      <c r="G26" s="118"/>
      <c r="H26" s="11"/>
    </row>
    <row r="28" spans="1:11" x14ac:dyDescent="0.25">
      <c r="B28" cm="1">
        <f t="array" ref="B28">_xlfn.LET(
_xlpm.periodType,MID(B1,40,12),
_xlpm.daysInPeriod,_xlfn.SWITCH(_xlpm.periodType, "Biweekly",14, "Weekly",7),
_xlpm.dateDiff,DATEDIF(E5,E11,"d"),
_xlpm.periodsCounted,IF(_xlpm.periodType="Semimonthly", ROUND(_xlpm.dateDiff/15, 0)+1, ROUNDDOWN(_xlpm.dateDiff/_xlpm.daysInPeriod+1,0)),
IF(AND($E$5&lt;&gt;42005, _xlpm.periodsCounted&gt;0), _xlpm.periodsCounted, 0)
)</f>
        <v>0</v>
      </c>
      <c r="C28" t="s">
        <v>56</v>
      </c>
      <c r="D28" s="97" t="s">
        <v>57</v>
      </c>
      <c r="E28" s="19" t="str" cm="1">
        <f t="array" ref="E28">_xlfn.LET(
_xlpm.periodType,MID(B1,40,12),
_xlpm.periodsInYear,_xlfn.SWITCH(_xlpm.periodType, "Biweekly",26, "Weekly",52, "Semimonthly",24),
IF(E15&lt;&gt;"", E15/_xlpm.periodsInYear, "")
)</f>
        <v/>
      </c>
    </row>
    <row r="29" spans="1:11" x14ac:dyDescent="0.25">
      <c r="K29" s="14"/>
    </row>
    <row r="36" spans="1:5" x14ac:dyDescent="0.25">
      <c r="A36" s="50" t="s">
        <v>15</v>
      </c>
      <c r="B36" s="51" t="s">
        <v>16</v>
      </c>
      <c r="C36" s="51" t="s">
        <v>17</v>
      </c>
      <c r="D36" s="51" t="s">
        <v>45</v>
      </c>
    </row>
    <row r="37" spans="1:5" x14ac:dyDescent="0.25">
      <c r="A37" s="4" t="s">
        <v>19</v>
      </c>
      <c r="B37" s="72"/>
      <c r="C37" s="90"/>
      <c r="D37" s="91" t="str">
        <f>IF(COUNTA(B37),B37/52,IF(COUNTA(C37),C37/12,""))</f>
        <v/>
      </c>
    </row>
    <row r="39" spans="1:5" x14ac:dyDescent="0.25">
      <c r="A39" s="50" t="s">
        <v>21</v>
      </c>
      <c r="B39" s="51" t="s">
        <v>58</v>
      </c>
      <c r="C39" s="51" t="s">
        <v>59</v>
      </c>
      <c r="D39" s="51" t="s">
        <v>45</v>
      </c>
    </row>
    <row r="40" spans="1:5" x14ac:dyDescent="0.25">
      <c r="A40" s="4" t="s">
        <v>19</v>
      </c>
      <c r="B40" s="73"/>
      <c r="C40" s="92"/>
      <c r="D40" s="91" t="str">
        <f>IF(COUNTA(B40, C40)=2, (1-((DATEDIF(B40,C40,"d")+1)/365)), "")</f>
        <v/>
      </c>
    </row>
    <row r="42" spans="1:5" x14ac:dyDescent="0.25">
      <c r="A42" t="s">
        <v>22</v>
      </c>
      <c r="B42" s="98" t="str">
        <f>IF(D37&lt;&gt;"",IF(COUNTA(B37),"(contract: "&amp; B37 &amp;"/52 weeks)","(contract: "&amp;C37&amp;"/12 months)"),"")</f>
        <v/>
      </c>
      <c r="C42" s="98"/>
      <c r="D42" s="98"/>
      <c r="E42" s="98"/>
    </row>
    <row r="44" spans="1:5" x14ac:dyDescent="0.25">
      <c r="A44" t="s">
        <v>24</v>
      </c>
      <c r="B44" s="98" t="str">
        <f>IF(D40&lt;&gt;"","(Leave: "&amp;(DATEDIF(B40,C40,"d")+1)&amp;" days)","")</f>
        <v/>
      </c>
      <c r="C44" s="98"/>
      <c r="D44" s="98"/>
      <c r="E44" s="98"/>
    </row>
  </sheetData>
  <sheetProtection sheet="1" objects="1" scenarios="1"/>
  <mergeCells count="17">
    <mergeCell ref="B1:E1"/>
    <mergeCell ref="B3:E3"/>
    <mergeCell ref="B5:D5"/>
    <mergeCell ref="B6:D6"/>
    <mergeCell ref="B7:D7"/>
    <mergeCell ref="B44:E44"/>
    <mergeCell ref="B8:D8"/>
    <mergeCell ref="B9:D9"/>
    <mergeCell ref="B10:D10"/>
    <mergeCell ref="B11:D11"/>
    <mergeCell ref="B42:E42"/>
    <mergeCell ref="A25:G25"/>
    <mergeCell ref="A26:G26"/>
    <mergeCell ref="B12:D12"/>
    <mergeCell ref="B13:D13"/>
    <mergeCell ref="B14:D14"/>
    <mergeCell ref="B15:D15"/>
  </mergeCells>
  <conditionalFormatting sqref="B1:E23">
    <cfRule type="expression" priority="1" stopIfTrue="1">
      <formula>$Z$1="Printing"</formula>
    </cfRule>
  </conditionalFormatting>
  <conditionalFormatting sqref="B1 B3 E5 E7 E9 E11 E13 B19:F23 B37:C37 B40:C40">
    <cfRule type="expression" dxfId="0" priority="2">
      <formula>CELL("protect",B1)=0</formula>
    </cfRule>
  </conditionalFormatting>
  <dataValidations disablePrompts="1" count="2">
    <dataValidation type="list" allowBlank="1" showInputMessage="1" showErrorMessage="1" sqref="D18" xr:uid="{0A111D23-7EA8-4833-947C-D8A7BD7421CC}">
      <formula1>"Once Monthly, Twice Monthly"</formula1>
    </dataValidation>
    <dataValidation type="list" allowBlank="1" showInputMessage="1" showErrorMessage="1" sqref="B1:E1" xr:uid="{22511196-C3C9-49F8-AD03-2AE1A922BF88}">
      <formula1>"Year-to-Date Income (within a range) - Biweekly, Year-to-Date Income (within a range) - Weekly, Year-to-Date Income (within a range)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101600</xdr:rowOff>
                  </from>
                  <to>
                    <xdr:col>5</xdr:col>
                    <xdr:colOff>336550</xdr:colOff>
                    <xdr:row>30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292100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292100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25400</xdr:rowOff>
                  </from>
                  <to>
                    <xdr:col>3</xdr:col>
                    <xdr:colOff>203200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Pay Periods</vt:lpstr>
      <vt:lpstr>CS</vt:lpstr>
      <vt:lpstr>UI</vt:lpstr>
      <vt:lpstr>YTD</vt:lpstr>
      <vt:lpstr>YTD Range</vt:lpstr>
      <vt:lpstr>CSAnnualizedText</vt:lpstr>
      <vt:lpstr>CSDatesPayments</vt:lpstr>
      <vt:lpstr>CSEntriesSum</vt:lpstr>
      <vt:lpstr>CSIncomePeriod</vt:lpstr>
      <vt:lpstr>CSMonths</vt:lpstr>
      <vt:lpstr>CSSumCalc</vt:lpstr>
      <vt:lpstr>PPExpenses</vt:lpstr>
      <vt:lpstr>PPPerson1</vt:lpstr>
      <vt:lpstr>PPPerson2</vt:lpstr>
      <vt:lpstr>CS!Print_Area</vt:lpstr>
      <vt:lpstr>'Pay Periods'!Print_Area</vt:lpstr>
      <vt:lpstr>UI!Print_Area</vt:lpstr>
      <vt:lpstr>YTD!Print_Area</vt:lpstr>
      <vt:lpstr>'YTD Range'!Print_Area</vt:lpstr>
      <vt:lpstr>SumOfPasted</vt:lpstr>
      <vt:lpstr>UIPerson1</vt:lpstr>
      <vt:lpstr>UIPerson2</vt:lpstr>
      <vt:lpstr>YTDExpenses</vt:lpstr>
      <vt:lpstr>YTDperiodsCounted</vt:lpstr>
      <vt:lpstr>YTDPerson1</vt:lpstr>
      <vt:lpstr>YTDRangeExpenses</vt:lpstr>
      <vt:lpstr>YTDRangePerson1</vt:lpstr>
      <vt:lpstr>YTDRperiodsCounted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McCormick</dc:creator>
  <cp:keywords/>
  <dc:description/>
  <cp:lastModifiedBy>Jonathan McCormick</cp:lastModifiedBy>
  <cp:revision/>
  <cp:lastPrinted>2025-07-25T13:48:59Z</cp:lastPrinted>
  <dcterms:created xsi:type="dcterms:W3CDTF">2024-01-30T20:38:11Z</dcterms:created>
  <dcterms:modified xsi:type="dcterms:W3CDTF">2026-07-07T15:54:47Z</dcterms:modified>
  <cp:category/>
  <cp:contentStatus/>
</cp:coreProperties>
</file>