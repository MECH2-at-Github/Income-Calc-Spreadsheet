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F8917FB3-D587-42C7-83D8-24CA50B09B12}" xr6:coauthVersionLast="47" xr6:coauthVersionMax="47" xr10:uidLastSave="{00000000-0000-0000-0000-000000000000}"/>
  <workbookProtection lockStructure="1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1BW" hidden="1" xlm="1">#NAME?</definedName>
    <definedName name="_xlpm.P1SM" hidden="1" xlm="1">#NAME?</definedName>
    <definedName name="_xlpm.P2BW" hidden="1" xlm="1">#NAME?</definedName>
    <definedName name="_xlpm.P2SM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E9" i="4" s="1" a="1"/>
  <c r="E9" i="4" s="1"/>
  <c r="B28" i="6" a="1"/>
  <c r="B28" i="6" s="1"/>
  <c r="E15" i="6" s="1" a="1"/>
  <c r="E15" i="6" s="1"/>
  <c r="A34" i="1" a="1"/>
  <c r="A34" i="1" s="1"/>
  <c r="A35" i="1" a="1"/>
  <c r="A35" i="1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1" i="1"/>
  <c r="B47" i="1" s="1"/>
  <c r="D38" i="1"/>
  <c r="B45" i="1" s="1"/>
  <c r="D37" i="1"/>
  <c r="B44" i="1" s="1"/>
  <c r="D42" i="1"/>
  <c r="B48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40" i="4" l="1"/>
  <c r="D37" i="4"/>
  <c r="B42" i="4" s="1"/>
  <c r="D40" i="6"/>
  <c r="D37" i="6"/>
  <c r="B42" i="6" s="1"/>
  <c r="B44" i="4" l="1"/>
  <c r="B4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6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<sst xmlns="http://schemas.openxmlformats.org/spreadsheetml/2006/main" count="135" uniqueCount="59">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</sst>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49" fontId="0" fillId="0" borderId="2" xfId="0" applyNumberFormat="1" applyBorder="1" applyAlignment="1">
      <alignment horizontal="right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2" fontId="0" fillId="0" borderId="26" xfId="0" applyNumberFormat="1" applyBorder="1" applyProtection="1">
      <protection locked="0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0" fontId="5" fillId="0" borderId="0" xfId="0" applyFont="1"/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</cellXfs>
  <cellStyles count="2">
    <cellStyle name="Currency" xfId="1" builtinId="4"/>
    <cellStyle name="Normal" xfId="0" builtinId="0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8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2" t="s">
        <v>6</v>
      </c>
      <c r="B1" s="10" t="s">
        <v>0</v>
      </c>
      <c r="C1" s="32" t="s">
        <v>1</v>
      </c>
      <c r="D1" s="52" t="s">
        <v>6</v>
      </c>
      <c r="E1" s="10" t="s">
        <v>0</v>
      </c>
      <c r="F1" s="32" t="s">
        <v>1</v>
      </c>
      <c r="Z1" s="93"/>
    </row>
    <row r="2" spans="1:26" ht="12.5" customHeight="1" x14ac:dyDescent="0.25">
      <c r="A2" s="98" t="s">
        <v>2</v>
      </c>
      <c r="B2" s="99"/>
      <c r="C2" s="100"/>
      <c r="D2" s="98"/>
      <c r="E2" s="99"/>
      <c r="F2" s="100"/>
    </row>
    <row r="3" spans="1:26" ht="12.5" customHeight="1" x14ac:dyDescent="0.25">
      <c r="A3" s="74"/>
      <c r="B3" s="94"/>
      <c r="C3" s="75"/>
      <c r="D3" s="76"/>
      <c r="E3" s="94"/>
      <c r="F3" s="75"/>
    </row>
    <row r="4" spans="1:26" ht="12.5" customHeight="1" x14ac:dyDescent="0.25">
      <c r="A4" s="58"/>
      <c r="B4" s="95"/>
      <c r="C4" s="56"/>
      <c r="D4" s="60"/>
      <c r="E4" s="95"/>
      <c r="F4" s="56"/>
    </row>
    <row r="5" spans="1:26" ht="12.5" customHeight="1" x14ac:dyDescent="0.25">
      <c r="A5" s="58"/>
      <c r="B5" s="95"/>
      <c r="C5" s="56"/>
      <c r="D5" s="60"/>
      <c r="E5" s="95"/>
      <c r="F5" s="56"/>
    </row>
    <row r="6" spans="1:26" ht="12.5" customHeight="1" x14ac:dyDescent="0.25">
      <c r="A6" s="58"/>
      <c r="B6" s="95"/>
      <c r="C6" s="56"/>
      <c r="D6" s="60"/>
      <c r="E6" s="95"/>
      <c r="F6" s="56"/>
    </row>
    <row r="7" spans="1:26" ht="12.5" customHeight="1" x14ac:dyDescent="0.25">
      <c r="A7" s="58"/>
      <c r="B7" s="95"/>
      <c r="C7" s="56"/>
      <c r="D7" s="60"/>
      <c r="E7" s="95"/>
      <c r="F7" s="56"/>
    </row>
    <row r="8" spans="1:26" ht="12.5" customHeight="1" x14ac:dyDescent="0.25">
      <c r="A8" s="58"/>
      <c r="B8" s="95"/>
      <c r="C8" s="56"/>
      <c r="D8" s="60"/>
      <c r="E8" s="95"/>
      <c r="F8" s="56"/>
    </row>
    <row r="9" spans="1:26" ht="12.5" customHeight="1" x14ac:dyDescent="0.25">
      <c r="A9" s="58"/>
      <c r="B9" s="95"/>
      <c r="C9" s="56"/>
      <c r="D9" s="60"/>
      <c r="E9" s="95"/>
      <c r="F9" s="56"/>
    </row>
    <row r="10" spans="1:26" ht="12.5" customHeight="1" x14ac:dyDescent="0.25">
      <c r="A10" s="58"/>
      <c r="B10" s="95"/>
      <c r="C10" s="56"/>
      <c r="D10" s="60"/>
      <c r="E10" s="95"/>
      <c r="F10" s="56"/>
    </row>
    <row r="11" spans="1:26" ht="12.5" customHeight="1" x14ac:dyDescent="0.25">
      <c r="A11" s="59"/>
      <c r="B11" s="96"/>
      <c r="C11" s="57"/>
      <c r="D11" s="61"/>
      <c r="E11" s="96"/>
      <c r="F11" s="57"/>
    </row>
    <row r="12" spans="1:26" ht="12.5" customHeight="1" x14ac:dyDescent="0.25">
      <c r="A12" s="55" t="s">
        <v>3</v>
      </c>
      <c r="B12" s="55" t="s">
        <v>3</v>
      </c>
      <c r="C12" s="34"/>
      <c r="D12" s="55" t="s">
        <v>3</v>
      </c>
      <c r="E12" s="55" t="s">
        <v>3</v>
      </c>
      <c r="F12" s="36"/>
      <c r="G12" s="1"/>
    </row>
    <row r="13" spans="1:26" ht="12.5" customHeight="1" x14ac:dyDescent="0.25">
      <c r="A13" s="39" t="str">
        <f>IF(AND(COUNTA(A3:A11), A2&lt;&gt;"Person1 - Employer"),AVERAGE(A3:A11), "")</f>
        <v/>
      </c>
      <c r="B13" s="6" t="str">
        <f>IF(COUNTA(B3:B11),AVERAGE(B3:B11), "")</f>
        <v/>
      </c>
      <c r="D13" s="39" t="str">
        <f>IF(AND(COUNTA(D3:D11), D2&lt;&gt;"Person1 - Employer"),AVERAGE(D3:D11), "")</f>
        <v/>
      </c>
      <c r="E13" s="6" t="str">
        <f>IF(COUNTA(E3:E11),AVERAGE(E3:E11), "")</f>
        <v/>
      </c>
      <c r="F13" s="35"/>
      <c r="G13" s="2"/>
    </row>
    <row r="14" spans="1:26" ht="12.5" customHeight="1" x14ac:dyDescent="0.25">
      <c r="A14" s="3" t="s">
        <v>4</v>
      </c>
      <c r="B14" s="10" t="s">
        <v>51</v>
      </c>
      <c r="C14" s="34"/>
      <c r="D14" s="3" t="s">
        <v>4</v>
      </c>
      <c r="E14" s="10" t="s">
        <v>51</v>
      </c>
      <c r="F14" s="36"/>
      <c r="G14" s="1"/>
    </row>
    <row r="15" spans="1:26" ht="12.5" customHeight="1" x14ac:dyDescent="0.25">
      <c r="A15" s="39" t="str" cm="1">
        <f t="array" ref="A15">IF(A13&lt;&gt;"", (ROUND(A13, 2)*_xlfn.SWITCH(A1, "Biweekly", 26, "Weekly", 52, "Semimonthly", 24, "Monthly", 12)*IF($D41 &lt;&gt;"", $D41, 1)*IF($D37&lt;&gt;"", $D37, 1)), "")</f>
        <v/>
      </c>
      <c r="B15" s="6" t="str" cm="1">
        <f t="array" ref="B15">IF(B13&lt;&gt;"",B13*_xlfn.SWITCH(A1, "Biweekly", 26, "Weekly", 52, "Semimonthly", 24, "Monthly", 12)/52, "")</f>
        <v/>
      </c>
      <c r="C15" s="37"/>
      <c r="D15" s="39" t="str" cm="1">
        <f t="array" ref="D15">IF(D13&lt;&gt;"", (ROUND(D13, 2)*_xlfn.SWITCH(D1, "Biweekly", 26, "Weekly", 52, "Semimonthly", 24, "Monthly", 12)*IF($D42 &lt;&gt;"", $D42, 1)*IF($D38&lt;&gt;"", $D38, 1)), "")</f>
        <v/>
      </c>
      <c r="E15" s="6" t="str" cm="1">
        <f t="array" ref="E15">IF(E13&lt;&gt;"",E13*_xlfn.SWITCH(D1, "Biweekly", 26, "Weekly", 52, "Semimonthly", 24, "Monthly", 12)/52, "")</f>
        <v/>
      </c>
      <c r="F15" s="38"/>
      <c r="G15" s="2"/>
    </row>
    <row r="18" spans="1:7" ht="12.5" customHeight="1" x14ac:dyDescent="0.25">
      <c r="A18" s="4" t="s">
        <v>5</v>
      </c>
      <c r="B18" s="10" t="s">
        <v>6</v>
      </c>
      <c r="C18" s="32" t="s">
        <v>28</v>
      </c>
      <c r="D18" s="10" t="s">
        <v>8</v>
      </c>
      <c r="E18" s="77" t="s">
        <v>7</v>
      </c>
      <c r="F18" s="10" t="s">
        <v>9</v>
      </c>
    </row>
    <row r="19" spans="1:7" ht="12.5" customHeight="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7" ht="12.5" customHeight="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7" ht="12.5" customHeight="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7" ht="12.5" customHeight="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7" ht="12.5" customHeight="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7" ht="12.5" customHeight="1" x14ac:dyDescent="0.3">
      <c r="A25" s="101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B44, B47), ""))</f>
        <v/>
      </c>
      <c r="B25" s="101"/>
      <c r="C25" s="101"/>
      <c r="D25" s="101"/>
      <c r="E25" s="101"/>
      <c r="F25" s="101"/>
      <c r="G25" s="101"/>
    </row>
    <row r="26" spans="1:7" ht="12.5" customHeight="1" x14ac:dyDescent="0.3">
      <c r="A26" s="101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$B45, $B48), ""))</f>
        <v/>
      </c>
      <c r="B26" s="101"/>
      <c r="C26" s="101"/>
      <c r="D26" s="101"/>
      <c r="E26" s="101"/>
      <c r="F26" s="101"/>
      <c r="G26" s="101"/>
    </row>
    <row r="27" spans="1:7" ht="12.5" customHeight="1" x14ac:dyDescent="0.3">
      <c r="A27" s="101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1"/>
      <c r="C27" s="101"/>
      <c r="D27" s="101"/>
      <c r="E27" s="101"/>
      <c r="F27" s="101"/>
      <c r="G27" s="101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3"/>
      <c r="D33" s="11"/>
      <c r="E33" s="11"/>
      <c r="F33" s="33"/>
    </row>
    <row r="34" spans="1:6" ht="12.5" customHeight="1" x14ac:dyDescent="0.3">
      <c r="A34" s="102" t="str" cm="1">
        <f t="array" ref="A34">_xlfn.LET(
_xlpm.P1BW, AND($A$1="Biweekly", SUMPRODUCT(--(_xlfn.MAP(ABS(C3:C10-C4:C11),_xlfn.LAMBDA(_xlpm.days,AND(_xlpm.days&lt;&gt;14,_xlpm.days&lt;&gt;0,_xlpm.days&lt;25)))))&gt;0),
_xlpm.P1SM, AND($A$1="Semimonthly", SUMPRODUCT(--(_xlfn.MAP(ABS(C3:C10-C4:C11),_xlfn.LAMBDA(_xlpm.days,AND(_xlpm.days=14,_xlpm.days&lt;&gt;0,_xlpm.days&lt;25)))))&gt;0),
IF(_xlpm.P1BW, "P1: Not all dates are 14 days apart. If paydates are sequential, check if semimonthly.",
IF(_xlpm.P1SM, "P1: Dates are 14 days apart. If paydates are sequential, check if biweekly.",
"")))</f>
        <v/>
      </c>
      <c r="B34" s="102"/>
      <c r="C34" s="102"/>
      <c r="D34" s="102"/>
      <c r="E34" s="102"/>
      <c r="F34" s="102"/>
    </row>
    <row r="35" spans="1:6" ht="12.5" customHeight="1" x14ac:dyDescent="0.3">
      <c r="A35" s="102" t="str" cm="1">
        <f t="array" ref="A35">_xlfn.LET(
_xlpm.P2BW, AND($D$1="Biweekly", SUMPRODUCT(--(_xlfn.MAP(ABS(F3:F10-F4:F11),_xlfn.LAMBDA(_xlpm.days,AND(_xlpm.days&lt;&gt;14,_xlpm.days&lt;&gt;0,_xlpm.days&lt;25)))))&gt;0),
_xlpm.P2SM, AND($D$1="Semimonthly", SUMPRODUCT(--(_xlfn.MAP(ABS(F3:F10-F4:F11),_xlfn.LAMBDA(_xlpm.days,AND(_xlpm.days=14,_xlpm.days&lt;&gt;0,_xlpm.days&lt;25)))))&gt;0),
IF(_xlpm.P2BW, "P2: Not all dates are 14 days apart. If paydates are sequential, check if semimonthly.",
IF(_xlpm.P2SM, "P2: Dates are 14 days apart. If paydates are sequential, check if biweekly.",
"")))</f>
        <v/>
      </c>
      <c r="B35" s="102"/>
      <c r="C35" s="102"/>
      <c r="D35" s="102"/>
      <c r="E35" s="102"/>
      <c r="F35" s="102"/>
    </row>
    <row r="36" spans="1:6" ht="12.5" customHeight="1" x14ac:dyDescent="0.25">
      <c r="A36" s="50" t="s">
        <v>15</v>
      </c>
      <c r="B36" s="51" t="s">
        <v>16</v>
      </c>
      <c r="C36" s="51" t="s">
        <v>17</v>
      </c>
      <c r="D36" s="51" t="s">
        <v>18</v>
      </c>
    </row>
    <row r="37" spans="1:6" ht="12.5" customHeight="1" x14ac:dyDescent="0.25">
      <c r="A37" s="4" t="s">
        <v>19</v>
      </c>
      <c r="B37" s="68"/>
      <c r="C37" s="84"/>
      <c r="D37" s="86" t="str">
        <f>IF($B37,$B37/52,IF($C37,$C37/12,""))</f>
        <v/>
      </c>
      <c r="E37" s="13"/>
    </row>
    <row r="38" spans="1:6" ht="12.5" customHeight="1" x14ac:dyDescent="0.25">
      <c r="A38" s="4" t="s">
        <v>20</v>
      </c>
      <c r="B38" s="69"/>
      <c r="C38" s="85"/>
      <c r="D38" s="87" t="str">
        <f>IF($B38,$B38/52,IF($C38,$C38/12,""))</f>
        <v/>
      </c>
      <c r="E38" s="13"/>
    </row>
    <row r="40" spans="1:6" ht="12.5" customHeight="1" x14ac:dyDescent="0.25">
      <c r="A40" s="50" t="s">
        <v>21</v>
      </c>
      <c r="B40" s="51" t="s">
        <v>22</v>
      </c>
      <c r="C40" s="51" t="s">
        <v>23</v>
      </c>
      <c r="D40" s="51" t="s">
        <v>18</v>
      </c>
    </row>
    <row r="41" spans="1:6" ht="12.5" customHeight="1" x14ac:dyDescent="0.25">
      <c r="A41" s="4" t="s">
        <v>19</v>
      </c>
      <c r="B41" s="70"/>
      <c r="C41" s="88"/>
      <c r="D41" s="86" t="str">
        <f>IF(COUNTA($B41, $C41)=2, (1-((DATEDIF($B41,$C41,"d")+1)/365)), "")</f>
        <v/>
      </c>
      <c r="E41" s="13"/>
    </row>
    <row r="42" spans="1:6" ht="12.5" customHeight="1" x14ac:dyDescent="0.25">
      <c r="A42" s="4" t="s">
        <v>20</v>
      </c>
      <c r="B42" s="71"/>
      <c r="C42" s="89"/>
      <c r="D42" s="87" t="str">
        <f>IF(COUNTA($B42, $C42)=2, (1-((DATEDIF($B42,$C42,"d")+1)/365)), "")</f>
        <v/>
      </c>
      <c r="E42" s="13"/>
    </row>
    <row r="44" spans="1:6" ht="12.5" customHeight="1" x14ac:dyDescent="0.25">
      <c r="A44" t="s">
        <v>24</v>
      </c>
      <c r="B44" s="97" t="str">
        <f>IF($D37&lt;&gt;"",IF(COUNTA($B37),"(contract: "&amp; $B37 &amp;"/52 weeks)","(contract: "&amp;C37&amp;"/12 months)"),"")</f>
        <v/>
      </c>
      <c r="C44" s="97"/>
      <c r="D44" s="97"/>
      <c r="E44" s="97"/>
    </row>
    <row r="45" spans="1:6" ht="12.5" customHeight="1" x14ac:dyDescent="0.25">
      <c r="A45" t="s">
        <v>25</v>
      </c>
      <c r="B45" s="97" t="str">
        <f>IF($D38&lt;&gt;"",IF(COUNTA($B38),"(contract: "&amp; $B38 &amp;"/52 weeks)","(contract: "&amp;C38&amp;"/12 months)"),"")</f>
        <v/>
      </c>
      <c r="C45" s="97"/>
      <c r="D45" s="97"/>
      <c r="E45" s="97"/>
    </row>
    <row r="47" spans="1:6" ht="12.5" customHeight="1" x14ac:dyDescent="0.25">
      <c r="A47" t="s">
        <v>26</v>
      </c>
      <c r="B47" s="97" t="str">
        <f>IF($D41&lt;&gt;"","(Leave: "&amp;(DATEDIF($B41,$C41,"d")+1)&amp;" days)","")</f>
        <v/>
      </c>
      <c r="C47" s="97"/>
      <c r="D47" s="97"/>
      <c r="E47" s="97"/>
    </row>
    <row r="48" spans="1:6" ht="12.5" customHeight="1" x14ac:dyDescent="0.25">
      <c r="A48" t="s">
        <v>27</v>
      </c>
      <c r="B48" s="97" t="str">
        <f>IF($D42&lt;&gt;"","(Leave: "&amp;(DATEDIF($B42,$C42,"d")+1)&amp;" days)","")</f>
        <v/>
      </c>
      <c r="C48" s="97"/>
      <c r="D48" s="97"/>
      <c r="E48" s="97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1">
    <mergeCell ref="B44:E44"/>
    <mergeCell ref="B45:E45"/>
    <mergeCell ref="B47:E47"/>
    <mergeCell ref="B48:E48"/>
    <mergeCell ref="A2:C2"/>
    <mergeCell ref="D2:F2"/>
    <mergeCell ref="A25:G25"/>
    <mergeCell ref="A26:G26"/>
    <mergeCell ref="A27:G27"/>
    <mergeCell ref="A34:F34"/>
    <mergeCell ref="A35:F35"/>
  </mergeCells>
  <phoneticPr fontId="0" type="noConversion"/>
  <conditionalFormatting sqref="A1:G33 A36:G43 A34:A35 G34:G35">
    <cfRule type="expression" dxfId="5" priority="2">
      <formula>CELL("protect",A1)=0</formula>
    </cfRule>
  </conditionalFormatting>
  <conditionalFormatting sqref="A1:G33 A36:G42 A34:A35 G34:G35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43" customWidth="1"/>
    <col min="2" max="2" width="10.54296875" style="44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5" t="s">
        <v>13</v>
      </c>
      <c r="E1" s="105"/>
      <c r="G1" s="105" t="s">
        <v>37</v>
      </c>
      <c r="H1" s="105"/>
      <c r="I1" s="105"/>
      <c r="J1" s="105"/>
      <c r="K1" s="25"/>
      <c r="Z1" s="93"/>
    </row>
    <row r="2" spans="1:26" x14ac:dyDescent="0.25">
      <c r="A2" s="41"/>
      <c r="B2" s="42"/>
      <c r="D2" s="109" t="s">
        <v>36</v>
      </c>
      <c r="E2" s="109"/>
      <c r="G2" s="104" t="str">
        <f>$E$5&amp;" months:"</f>
        <v>6 months:</v>
      </c>
      <c r="H2" s="104"/>
      <c r="I2" s="104"/>
      <c r="J2" s="104"/>
      <c r="K2" s="25"/>
    </row>
    <row r="3" spans="1:26" x14ac:dyDescent="0.25">
      <c r="G3" s="108">
        <f ca="1">TODAY()-ROUNDDOWN(($E$5/12*365),0)</f>
        <v>45874</v>
      </c>
      <c r="H3" s="108"/>
      <c r="I3" s="108"/>
      <c r="J3" s="108"/>
    </row>
    <row r="5" spans="1:26" ht="12.65" customHeight="1" x14ac:dyDescent="0.25">
      <c r="D5" s="54" t="s">
        <v>35</v>
      </c>
      <c r="E5" s="53">
        <v>6</v>
      </c>
      <c r="G5" s="106" t="s">
        <v>38</v>
      </c>
      <c r="H5" s="24"/>
      <c r="I5" s="30"/>
      <c r="J5" s="30"/>
    </row>
    <row r="6" spans="1:26" x14ac:dyDescent="0.25">
      <c r="G6" s="107"/>
      <c r="H6" s="107" t="str">
        <f>$E$5&amp;" months"</f>
        <v>6 months</v>
      </c>
      <c r="I6" s="107"/>
      <c r="J6" s="107"/>
    </row>
    <row r="7" spans="1:26" ht="12.65" customHeight="1" x14ac:dyDescent="0.25">
      <c r="G7" s="31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D8" s="104" t="str">
        <f>CSMonths &amp;" month total:"</f>
        <v>6 month total:</v>
      </c>
      <c r="E8" s="104"/>
      <c r="F8" s="19"/>
      <c r="G8" s="31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D9" s="115">
        <f>SUM(B2:B30)</f>
        <v>0</v>
      </c>
      <c r="E9" s="116"/>
      <c r="G9" s="31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G10" s="31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D11" s="117" t="str">
        <f>IF(D8="12 Month Total:","","Annualized:")</f>
        <v>Annualized:</v>
      </c>
      <c r="E11" s="117"/>
      <c r="G11" s="31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D12" s="118">
        <f>IF(D11&lt;&gt;"", D9/E5*12, "")</f>
        <v>0</v>
      </c>
      <c r="E12" s="118"/>
      <c r="G12" s="31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G13" s="31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G14" s="31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G15" s="31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G16" s="31">
        <v>10</v>
      </c>
      <c r="H16" s="20">
        <v>9</v>
      </c>
      <c r="I16" s="21" t="s">
        <v>39</v>
      </c>
      <c r="J16" s="23">
        <f t="shared" si="0"/>
        <v>4</v>
      </c>
    </row>
    <row r="17" spans="7:10" x14ac:dyDescent="0.25">
      <c r="G17" s="31">
        <v>11</v>
      </c>
      <c r="H17" s="20">
        <v>10</v>
      </c>
      <c r="I17" s="21" t="s">
        <v>39</v>
      </c>
      <c r="J17" s="23">
        <f t="shared" si="0"/>
        <v>5</v>
      </c>
    </row>
    <row r="18" spans="7:10" x14ac:dyDescent="0.25">
      <c r="G18" s="31">
        <v>12</v>
      </c>
      <c r="H18" s="20">
        <v>11</v>
      </c>
      <c r="I18" s="21" t="s">
        <v>39</v>
      </c>
      <c r="J18" s="23">
        <f t="shared" si="0"/>
        <v>6</v>
      </c>
    </row>
    <row r="21" spans="7:10" ht="12.65" customHeight="1" x14ac:dyDescent="0.25">
      <c r="G21" s="20"/>
      <c r="H21" s="20"/>
      <c r="I21" s="22"/>
    </row>
    <row r="22" spans="7:10" ht="12.65" customHeight="1" x14ac:dyDescent="0.25">
      <c r="G22" s="20"/>
      <c r="H22" s="20"/>
      <c r="I22" s="22"/>
    </row>
    <row r="23" spans="7:10" x14ac:dyDescent="0.25">
      <c r="G23" s="27"/>
      <c r="H23" s="28"/>
      <c r="I23" s="29"/>
      <c r="J23" s="29"/>
    </row>
    <row r="24" spans="7:10" x14ac:dyDescent="0.25">
      <c r="G24" s="27"/>
      <c r="H24" s="28"/>
      <c r="I24" s="29"/>
      <c r="J24" s="29"/>
    </row>
    <row r="25" spans="7:10" x14ac:dyDescent="0.25">
      <c r="G25" s="20"/>
      <c r="H25" s="20"/>
      <c r="I25" s="21"/>
      <c r="J25" s="23"/>
    </row>
    <row r="26" spans="7:10" x14ac:dyDescent="0.25">
      <c r="G26" s="20"/>
      <c r="H26" s="20"/>
      <c r="I26" s="21"/>
      <c r="J26" s="23"/>
    </row>
    <row r="27" spans="7:10" x14ac:dyDescent="0.25">
      <c r="G27" s="20"/>
      <c r="H27" s="20"/>
      <c r="I27" s="21"/>
      <c r="J27" s="23"/>
    </row>
    <row r="28" spans="7:10" x14ac:dyDescent="0.25">
      <c r="G28" s="103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3"/>
      <c r="I28" s="103"/>
      <c r="J28" s="103"/>
    </row>
    <row r="29" spans="7:10" x14ac:dyDescent="0.25">
      <c r="G29" s="103"/>
      <c r="H29" s="103"/>
      <c r="I29" s="103"/>
      <c r="J29" s="103"/>
    </row>
    <row r="30" spans="7:10" x14ac:dyDescent="0.25">
      <c r="G30" s="20"/>
      <c r="H30" s="20"/>
      <c r="I30" s="21"/>
      <c r="J30" s="23"/>
    </row>
  </sheetData>
  <sheetProtection sheet="1" objects="1" scenarios="1"/>
  <mergeCells count="12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  <mergeCell ref="D12:E12"/>
    <mergeCell ref="D9:E9"/>
  </mergeCells>
  <conditionalFormatting sqref="A2:A100">
    <cfRule type="expression" dxfId="1" priority="4">
      <formula>AND(A1&lt;&gt;"", A2="")</formula>
    </cfRule>
  </conditionalFormatting>
  <conditionalFormatting sqref="A2:E100">
    <cfRule type="expression" priority="3" stopIfTrue="1">
      <formula>($Z$1="Printing")</formula>
    </cfRule>
  </conditionalFormatting>
  <conditionalFormatting sqref="D12:E12">
    <cfRule type="expression" dxfId="0" priority="1">
      <formula>$E$5&lt;&gt;12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5" t="s">
        <v>40</v>
      </c>
      <c r="B1" s="105"/>
      <c r="C1" s="105"/>
      <c r="D1" s="105"/>
      <c r="E1" s="105"/>
      <c r="Z1" s="93"/>
    </row>
    <row r="2" spans="1:26" x14ac:dyDescent="0.25">
      <c r="C2" s="15"/>
    </row>
    <row r="3" spans="1:26" x14ac:dyDescent="0.25">
      <c r="C3" s="15"/>
    </row>
    <row r="4" spans="1:26" x14ac:dyDescent="0.25">
      <c r="A4" s="109" t="s">
        <v>41</v>
      </c>
      <c r="B4" s="109"/>
      <c r="C4" s="15"/>
      <c r="D4" s="109" t="s">
        <v>41</v>
      </c>
      <c r="E4" s="109"/>
    </row>
    <row r="6" spans="1:26" x14ac:dyDescent="0.25">
      <c r="A6" t="s">
        <v>42</v>
      </c>
      <c r="B6" s="45"/>
      <c r="D6" t="s">
        <v>42</v>
      </c>
      <c r="E6" s="45"/>
    </row>
    <row r="7" spans="1:26" x14ac:dyDescent="0.25">
      <c r="A7" t="s">
        <v>43</v>
      </c>
      <c r="B7" s="46"/>
      <c r="D7" t="s">
        <v>43</v>
      </c>
      <c r="E7" s="46"/>
    </row>
    <row r="8" spans="1:26" x14ac:dyDescent="0.25">
      <c r="A8" t="s">
        <v>44</v>
      </c>
      <c r="B8" s="47"/>
      <c r="D8" t="s">
        <v>44</v>
      </c>
      <c r="E8" s="47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97" t="str">
        <f>IF(A4&lt;&gt;"[Recipient Name]", A4&amp;" - ", "")&amp;IF(B11 &lt;&gt; "", "UI: "&amp;TEXT(B7, "$0")&amp;"/wk. Balance of "&amp; TEXT(B8, "$0")&amp;" as of "&amp;TEXT(B6, "M/D/YY")&amp;". Funds expended "&amp;TEXT(B11, "M/D/YY")&amp;".", "")</f>
        <v/>
      </c>
      <c r="B25" s="97"/>
      <c r="C25" s="97"/>
      <c r="D25" s="97"/>
      <c r="E25" s="97"/>
    </row>
    <row r="26" spans="1:5" x14ac:dyDescent="0.25">
      <c r="A26" s="97" t="str">
        <f>IF(D4&lt;&gt;"[Recipient Name]", D4&amp;" - ", "")&amp;IF(E11 &lt;&gt; "", "UI: "&amp;TEXT(E7, "$0")&amp;"/wk. Balance of "&amp; TEXT(E8, "$0")&amp;" as of "&amp;TEXT(E6, "M/D/YY")&amp;". Funds expended "&amp;TEXT(E11, "M/D/YY")&amp;".", "")</f>
        <v/>
      </c>
      <c r="B26" s="97"/>
      <c r="C26" s="97"/>
      <c r="D26" s="97"/>
      <c r="E26" s="97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4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09" t="s">
        <v>48</v>
      </c>
      <c r="C1" s="109"/>
      <c r="D1" s="109"/>
      <c r="E1" s="109"/>
      <c r="Z1" s="93"/>
    </row>
    <row r="2" spans="2:26" x14ac:dyDescent="0.25">
      <c r="E2" s="7"/>
    </row>
    <row r="3" spans="2:26" x14ac:dyDescent="0.25">
      <c r="B3" s="109" t="s">
        <v>29</v>
      </c>
      <c r="C3" s="109"/>
      <c r="D3" s="109"/>
      <c r="E3" s="109"/>
    </row>
    <row r="4" spans="2:26" x14ac:dyDescent="0.25">
      <c r="E4" s="7"/>
    </row>
    <row r="5" spans="2:26" x14ac:dyDescent="0.25">
      <c r="B5" s="110" t="s">
        <v>30</v>
      </c>
      <c r="C5" s="111"/>
      <c r="D5" s="112"/>
      <c r="E5" s="48">
        <v>42005</v>
      </c>
    </row>
    <row r="6" spans="2:26" x14ac:dyDescent="0.25">
      <c r="E6" s="7"/>
    </row>
    <row r="7" spans="2:26" x14ac:dyDescent="0.25">
      <c r="B7" s="110" t="s">
        <v>31</v>
      </c>
      <c r="C7" s="111"/>
      <c r="D7" s="112"/>
      <c r="E7" s="49"/>
    </row>
    <row r="8" spans="2:26" x14ac:dyDescent="0.25">
      <c r="E8" s="7"/>
    </row>
    <row r="9" spans="2:26" x14ac:dyDescent="0.25">
      <c r="B9" s="110" t="s">
        <v>32</v>
      </c>
      <c r="C9" s="111"/>
      <c r="D9" s="112"/>
      <c r="E9" s="8" t="str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IF(YTDperiodsCounted&gt;0, SUM(E7/ROUND(YTDperiodsCounted,2)*_xlpm.periodsInYear)*IF($D40&lt;&gt;"",$D40, 1)*IF($D37&lt;&gt;"", $D37, 1), "")
)</f>
        <v/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77" t="s">
        <v>7</v>
      </c>
      <c r="F18" s="10" t="s">
        <v>9</v>
      </c>
    </row>
    <row r="19" spans="1:8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8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8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8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8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8" ht="13" x14ac:dyDescent="0.3">
      <c r="A25" s="113" t="str">
        <f>IF(B3&lt;&gt;"Name - Employer",_xlfn.TEXTJOIN(" ",TRUE,B3&amp;": YTD as of "&amp;TEXT(E5,"m/d/yy")&amp;": $"&amp;TEXT(E7,"0.00")&amp;"; annual @ "&amp;TEXT(E9,"0.00"),B42,B44),"")</f>
        <v/>
      </c>
      <c r="B25" s="113"/>
      <c r="C25" s="113"/>
      <c r="D25" s="113"/>
      <c r="E25" s="113"/>
      <c r="F25" s="113"/>
      <c r="G25" s="113"/>
      <c r="H25" s="11"/>
    </row>
    <row r="26" spans="1:8" ht="13" x14ac:dyDescent="0.3">
      <c r="A26" s="113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3"/>
      <c r="C26" s="113"/>
      <c r="D26" s="113"/>
      <c r="E26" s="113"/>
      <c r="F26" s="113"/>
      <c r="G26" s="113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IF(AND($E$5&lt;&gt;42005,_xlpm.periodsCounted&gt;0), _xlpm.periodsCounted, 0)
)</f>
        <v>0</v>
      </c>
      <c r="C28" t="s">
        <v>57</v>
      </c>
    </row>
    <row r="36" spans="1:5" x14ac:dyDescent="0.25">
      <c r="A36" s="50" t="s">
        <v>50</v>
      </c>
      <c r="B36" s="51" t="s">
        <v>16</v>
      </c>
      <c r="C36" s="51" t="s">
        <v>17</v>
      </c>
      <c r="D36" s="51" t="s">
        <v>18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18</v>
      </c>
    </row>
    <row r="40" spans="1:5" x14ac:dyDescent="0.25">
      <c r="A40" s="4" t="s">
        <v>19</v>
      </c>
      <c r="B40" s="72"/>
      <c r="C40" s="90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mergeCells count="9">
    <mergeCell ref="B44:E44"/>
    <mergeCell ref="B42:E42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7:C37 B40:C40">
    <cfRule type="expression" priority="1" stopIfTrue="1">
      <formula>$Z$1="Printing"</formula>
    </cfRule>
    <cfRule type="expression" dxfId="3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09" t="s">
        <v>49</v>
      </c>
      <c r="C1" s="109"/>
      <c r="D1" s="109"/>
      <c r="E1" s="109"/>
      <c r="Z1" s="93"/>
    </row>
    <row r="2" spans="2:26" x14ac:dyDescent="0.25">
      <c r="E2" s="7"/>
    </row>
    <row r="3" spans="2:26" x14ac:dyDescent="0.25">
      <c r="B3" s="109" t="s">
        <v>29</v>
      </c>
      <c r="C3" s="109"/>
      <c r="D3" s="109"/>
      <c r="E3" s="109"/>
    </row>
    <row r="4" spans="2:26" x14ac:dyDescent="0.25">
      <c r="E4" s="7"/>
    </row>
    <row r="5" spans="2:26" x14ac:dyDescent="0.25">
      <c r="B5" s="114" t="s">
        <v>52</v>
      </c>
      <c r="C5" s="114"/>
      <c r="D5" s="114"/>
      <c r="E5" s="45">
        <v>42005</v>
      </c>
    </row>
    <row r="6" spans="2:26" x14ac:dyDescent="0.25">
      <c r="B6" s="105"/>
      <c r="C6" s="105"/>
      <c r="D6" s="105"/>
    </row>
    <row r="7" spans="2:26" x14ac:dyDescent="0.25">
      <c r="B7" s="114" t="s">
        <v>53</v>
      </c>
      <c r="C7" s="114"/>
      <c r="D7" s="114"/>
      <c r="E7" s="40"/>
    </row>
    <row r="8" spans="2:26" x14ac:dyDescent="0.25">
      <c r="B8" s="105"/>
      <c r="C8" s="105"/>
      <c r="D8" s="105"/>
    </row>
    <row r="9" spans="2:26" x14ac:dyDescent="0.25">
      <c r="B9" s="114" t="s">
        <v>54</v>
      </c>
      <c r="C9" s="114"/>
      <c r="D9" s="114"/>
      <c r="E9" s="40"/>
    </row>
    <row r="10" spans="2:26" x14ac:dyDescent="0.25">
      <c r="B10" s="105"/>
      <c r="C10" s="105"/>
      <c r="D10" s="105"/>
    </row>
    <row r="11" spans="2:26" x14ac:dyDescent="0.25">
      <c r="B11" s="114" t="s">
        <v>55</v>
      </c>
      <c r="C11" s="114"/>
      <c r="D11" s="114"/>
      <c r="E11" s="45">
        <v>42005</v>
      </c>
    </row>
    <row r="12" spans="2:26" x14ac:dyDescent="0.25">
      <c r="B12" s="105"/>
      <c r="C12" s="105"/>
      <c r="D12" s="105"/>
    </row>
    <row r="13" spans="2:26" x14ac:dyDescent="0.25">
      <c r="B13" s="114" t="s">
        <v>56</v>
      </c>
      <c r="C13" s="114"/>
      <c r="D13" s="114"/>
      <c r="E13" s="40"/>
    </row>
    <row r="14" spans="2:26" x14ac:dyDescent="0.25">
      <c r="B14" s="105"/>
      <c r="C14" s="105"/>
      <c r="D14" s="105"/>
    </row>
    <row r="15" spans="2:26" x14ac:dyDescent="0.25">
      <c r="B15" s="114" t="s">
        <v>32</v>
      </c>
      <c r="C15" s="114"/>
      <c r="D15" s="114"/>
      <c r="E15" s="39" t="str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IF(YTDRperiodsCounted&gt;0, SUM(E13/ROUND(YTDRperiodsCounted,2)*_xlpm.periodsInYear)*IF($D40&lt;&gt;"",$D40, 1)*IF($D37&lt;&gt;"", $D37, 1), "")
)</f>
        <v/>
      </c>
    </row>
    <row r="18" spans="1:11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1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1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1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1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11" ht="13" x14ac:dyDescent="0.3">
      <c r="A25" s="113" t="str">
        <f>IF(B3&lt;&gt;"Name - Employer", _xlfn.TEXTJOIN(" ",TRUE,B3&amp;": YTD from "&amp;TEXT(E5,"m/d/yy")&amp;" to "&amp;TEXT(E11,"m/d/yy")&amp;": $"&amp;SUM(E13-(E7-E9))&amp;"; annual @ "&amp;TEXT(E15,"0.00"), B42, B44), "")</f>
        <v/>
      </c>
      <c r="B25" s="113"/>
      <c r="C25" s="113"/>
      <c r="D25" s="113"/>
      <c r="E25" s="113"/>
      <c r="F25" s="113"/>
      <c r="G25" s="113"/>
    </row>
    <row r="26" spans="1:11" ht="13" x14ac:dyDescent="0.3">
      <c r="A26" s="113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3"/>
      <c r="C26" s="113"/>
      <c r="D26" s="113"/>
      <c r="E26" s="113"/>
      <c r="F26" s="113"/>
      <c r="G26" s="113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IF(AND($E$5&lt;&gt;42005, _xlpm.periodsCounted&gt;0), _xlpm.periodsCounted, 0)
)</f>
        <v>0</v>
      </c>
      <c r="C28" t="s">
        <v>58</v>
      </c>
    </row>
    <row r="29" spans="1:11" x14ac:dyDescent="0.25">
      <c r="K29" s="14"/>
    </row>
    <row r="36" spans="1:5" x14ac:dyDescent="0.25">
      <c r="A36" s="50" t="s">
        <v>15</v>
      </c>
      <c r="B36" s="51" t="s">
        <v>16</v>
      </c>
      <c r="C36" s="51" t="s">
        <v>17</v>
      </c>
      <c r="D36" s="51" t="s">
        <v>47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47</v>
      </c>
    </row>
    <row r="40" spans="1:5" x14ac:dyDescent="0.25">
      <c r="A40" s="4" t="s">
        <v>19</v>
      </c>
      <c r="B40" s="73"/>
      <c r="C40" s="92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sheetProtection sheet="1" objects="1" scenarios="1"/>
  <mergeCells count="17">
    <mergeCell ref="B44:E44"/>
    <mergeCell ref="B8:D8"/>
    <mergeCell ref="B9:D9"/>
    <mergeCell ref="B10:D10"/>
    <mergeCell ref="B11:D11"/>
    <mergeCell ref="B42:E42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7:C37 B40:C40">
    <cfRule type="expression" dxfId="2" priority="2">
      <formula>CELL("protect",B1)=0</formula>
    </cfRule>
  </conditionalFormatting>
  <dataValidations disablePrompts="1"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2026-02-03T16:18:27Z</dcterms:modified>
  <cp:category/>
  <cp:contentStatus/>
</cp:coreProperties>
</file>