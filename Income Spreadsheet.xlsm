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565D5F28-A9D4-456B-8FDF-C64A18EA9AF4}" xr6:coauthVersionLast="47" xr6:coauthVersionMax="47" xr10:uidLastSave="{00000000-0000-0000-0000-000000000000}"/>
  <workbookProtection lockStructure="1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CS!$G$30</definedName>
    <definedName name="CSDatesPayments">CS!$A$2:$B$202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E9" i="4" s="1" a="1"/>
  <c r="E9" i="4" s="1"/>
  <c r="B28" i="6" a="1"/>
  <c r="B28" i="6" s="1"/>
  <c r="E15" i="6" s="1" a="1"/>
  <c r="E15" i="6" s="1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30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<sst xmlns="http://schemas.openxmlformats.org/spreadsheetml/2006/main" count="136" uniqueCount="60">
  <si>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</si>
  <si>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</si>
  <si>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</si>
  <si>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</si>
  <si>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</si>
  <si>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</si>
  <si>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</si>
  <si>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</si>
  <si>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</si>
  <si>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</si>
  <si>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</si>
  <si>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</si>
  <si>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</si>
  <si>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</si>
  <si>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</si>
  <si>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</si>
  <si>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</si>
  <si>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</si>
  <si>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</si>
  <si>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</si>
  <si>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</si>
  <si>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</si>
  <si>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</si>
  <si>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</si>
  <si>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</si>
  <si>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</si>
  <si>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</si>
  <si>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</si>
  <si>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</si>
  <si>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</si>
  <si>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</si>
  <si>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</si>
  <si>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</si>
  <si>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</si>
  <si>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</si>
  <si>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</si>
  <si>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</si>
  <si>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</si>
  <si>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</si>
  <si>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</si>
  <si>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</si>
  <si>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</si>
  <si>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</si>
  <si>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</si>
  <si>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</si>
  <si>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</si>
  <si>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</si>
  <si>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</si>
  <si>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</si>
  <si>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</si>
  <si>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</si>
  <si>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</si>
  <si>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</si>
  <si>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</si>
  <si>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</si>
  <si>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</si>
  <si>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</si>
  <si>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</si>
  <si>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</si>
  <si>
    <t>PRISM:   DDPL   CHPL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</si>
</sst>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0" fontId="5" fillId="0" borderId="0" xfId="0" applyFont="1"/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9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23</xdr:row>
          <xdr:rowOff>19050</xdr:rowOff>
        </xdr:from>
        <xdr:to>
          <xdr:col>9</xdr:col>
          <xdr:colOff>165100</xdr:colOff>
          <xdr:row>25</xdr:row>
          <xdr:rowOff>19050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26</xdr:row>
          <xdr:rowOff>12700</xdr:rowOff>
        </xdr:from>
        <xdr:to>
          <xdr:col>9</xdr:col>
          <xdr:colOff>152400</xdr:colOff>
          <xdr:row>28</xdr:row>
          <xdr:rowOff>12700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3"/>
    </row>
    <row r="2" spans="1:26" ht="12.5" customHeight="1" x14ac:dyDescent="0.25">
      <c r="A2" s="98" t="s">
        <v>2</v>
      </c>
      <c r="B2" s="99"/>
      <c r="C2" s="100"/>
      <c r="D2" s="98"/>
      <c r="E2" s="99"/>
      <c r="F2" s="100"/>
    </row>
    <row r="3" spans="1:26" ht="12.5" customHeight="1" x14ac:dyDescent="0.25">
      <c r="A3" s="74"/>
      <c r="B3" s="94"/>
      <c r="C3" s="75"/>
      <c r="D3" s="76"/>
      <c r="E3" s="94"/>
      <c r="F3" s="75"/>
    </row>
    <row r="4" spans="1:26" ht="12.5" customHeight="1" x14ac:dyDescent="0.25">
      <c r="A4" s="58"/>
      <c r="B4" s="95"/>
      <c r="C4" s="56"/>
      <c r="D4" s="60"/>
      <c r="E4" s="95"/>
      <c r="F4" s="56"/>
    </row>
    <row r="5" spans="1:26" ht="12.5" customHeight="1" x14ac:dyDescent="0.25">
      <c r="A5" s="58"/>
      <c r="B5" s="95"/>
      <c r="C5" s="56"/>
      <c r="D5" s="60"/>
      <c r="E5" s="95"/>
      <c r="F5" s="56"/>
    </row>
    <row r="6" spans="1:26" ht="12.5" customHeight="1" x14ac:dyDescent="0.25">
      <c r="A6" s="58"/>
      <c r="B6" s="95"/>
      <c r="C6" s="56"/>
      <c r="D6" s="60"/>
      <c r="E6" s="95"/>
      <c r="F6" s="56"/>
    </row>
    <row r="7" spans="1:26" ht="12.5" customHeight="1" x14ac:dyDescent="0.25">
      <c r="A7" s="58"/>
      <c r="B7" s="95"/>
      <c r="C7" s="56"/>
      <c r="D7" s="60"/>
      <c r="E7" s="95"/>
      <c r="F7" s="56"/>
    </row>
    <row r="8" spans="1:26" ht="12.5" customHeight="1" x14ac:dyDescent="0.25">
      <c r="A8" s="58"/>
      <c r="B8" s="95"/>
      <c r="C8" s="56"/>
      <c r="D8" s="60"/>
      <c r="E8" s="95"/>
      <c r="F8" s="56"/>
    </row>
    <row r="9" spans="1:26" ht="12.5" customHeight="1" x14ac:dyDescent="0.25">
      <c r="A9" s="58"/>
      <c r="B9" s="95"/>
      <c r="C9" s="56"/>
      <c r="D9" s="60"/>
      <c r="E9" s="95"/>
      <c r="F9" s="56"/>
    </row>
    <row r="10" spans="1:26" ht="12.5" customHeight="1" x14ac:dyDescent="0.25">
      <c r="A10" s="58"/>
      <c r="B10" s="95"/>
      <c r="C10" s="56"/>
      <c r="D10" s="60"/>
      <c r="E10" s="95"/>
      <c r="F10" s="56"/>
    </row>
    <row r="11" spans="1:26" ht="12.5" customHeight="1" x14ac:dyDescent="0.25">
      <c r="A11" s="59"/>
      <c r="B11" s="96"/>
      <c r="C11" s="57"/>
      <c r="D11" s="61"/>
      <c r="E11" s="96"/>
      <c r="F11" s="57"/>
    </row>
    <row r="12" spans="1:26" ht="12.5" customHeight="1" x14ac:dyDescent="0.25">
      <c r="A12" s="55" t="s">
        <v>3</v>
      </c>
      <c r="B12" s="55" t="s">
        <v>3</v>
      </c>
      <c r="C12" s="34"/>
      <c r="D12" s="55" t="s">
        <v>3</v>
      </c>
      <c r="E12" s="55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77" t="s">
        <v>7</v>
      </c>
      <c r="F18" s="10" t="s">
        <v>9</v>
      </c>
    </row>
    <row r="19" spans="1:7" ht="12.5" customHeight="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7" ht="12.5" customHeight="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7" ht="12.5" customHeight="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7" ht="12.5" customHeight="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7" ht="12.5" customHeight="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7" ht="12.5" customHeight="1" x14ac:dyDescent="0.3">
      <c r="A25" s="101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1"/>
      <c r="C25" s="101"/>
      <c r="D25" s="101"/>
      <c r="E25" s="101"/>
      <c r="F25" s="101"/>
      <c r="G25" s="101"/>
    </row>
    <row r="26" spans="1:7" ht="12.5" customHeight="1" x14ac:dyDescent="0.3">
      <c r="A26" s="101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1"/>
      <c r="C26" s="101"/>
      <c r="D26" s="101"/>
      <c r="E26" s="101"/>
      <c r="F26" s="101"/>
      <c r="G26" s="101"/>
    </row>
    <row r="27" spans="1:7" ht="12.5" customHeight="1" x14ac:dyDescent="0.3">
      <c r="A27" s="101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1"/>
      <c r="C27" s="101"/>
      <c r="D27" s="101"/>
      <c r="E27" s="101"/>
      <c r="F27" s="101"/>
      <c r="G27" s="101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02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02"/>
      <c r="C34" s="102"/>
      <c r="D34" s="102"/>
      <c r="E34" s="102"/>
      <c r="F34" s="102"/>
    </row>
    <row r="35" spans="1:6" ht="12.5" customHeight="1" x14ac:dyDescent="0.3">
      <c r="A35" s="102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02"/>
      <c r="C35" s="102"/>
      <c r="D35" s="102"/>
      <c r="E35" s="102"/>
      <c r="F35" s="102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68"/>
      <c r="C37" s="84"/>
      <c r="D37" s="86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69"/>
      <c r="C38" s="85"/>
      <c r="D38" s="87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22</v>
      </c>
      <c r="C40" s="51" t="s">
        <v>23</v>
      </c>
      <c r="D40" s="51" t="s">
        <v>18</v>
      </c>
    </row>
    <row r="41" spans="1:6" ht="12.5" customHeight="1" x14ac:dyDescent="0.25">
      <c r="A41" s="4" t="s">
        <v>19</v>
      </c>
      <c r="B41" s="70"/>
      <c r="C41" s="88"/>
      <c r="D41" s="86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1"/>
      <c r="C42" s="89"/>
      <c r="D42" s="87" t="str">
        <f>IF(COUNTA($B42, $C42)=2, (1-((DATEDIF($B42,$C42,"d")+1)/365)), "")</f>
        <v/>
      </c>
      <c r="E42" s="13"/>
    </row>
    <row r="44" spans="1:6" ht="12.5" customHeight="1" x14ac:dyDescent="0.25">
      <c r="A44" t="s">
        <v>24</v>
      </c>
      <c r="B44" s="97" t="str">
        <f>IF($D37&lt;&gt;"",IF(COUNTA($B37),"(contract: "&amp; $B37 &amp;"/52 weeks)","(contract: "&amp;C37&amp;"/12 months)"),"")</f>
        <v/>
      </c>
      <c r="C44" s="97"/>
      <c r="D44" s="97"/>
      <c r="E44" s="97"/>
    </row>
    <row r="45" spans="1:6" ht="12.5" customHeight="1" x14ac:dyDescent="0.25">
      <c r="A45" t="s">
        <v>25</v>
      </c>
      <c r="B45" s="97" t="str">
        <f>IF($D38&lt;&gt;"",IF(COUNTA($B38),"(contract: "&amp; $B38 &amp;"/52 weeks)","(contract: "&amp;C38&amp;"/12 months)"),"")</f>
        <v/>
      </c>
      <c r="C45" s="97"/>
      <c r="D45" s="97"/>
      <c r="E45" s="97"/>
    </row>
    <row r="47" spans="1:6" ht="12.5" customHeight="1" x14ac:dyDescent="0.25">
      <c r="A47" t="s">
        <v>26</v>
      </c>
      <c r="B47" s="97" t="str">
        <f>IF($D41&lt;&gt;"","(Leave: "&amp;(DATEDIF($B41,$C41,"d")+1)&amp;" days)","")</f>
        <v/>
      </c>
      <c r="C47" s="97"/>
      <c r="D47" s="97"/>
      <c r="E47" s="97"/>
    </row>
    <row r="48" spans="1:6" ht="12.5" customHeight="1" x14ac:dyDescent="0.25">
      <c r="A48" t="s">
        <v>27</v>
      </c>
      <c r="B48" s="97" t="str">
        <f>IF($D42&lt;&gt;"","(Leave: "&amp;(DATEDIF($B42,$C42,"d")+1)&amp;" days)","")</f>
        <v/>
      </c>
      <c r="C48" s="97"/>
      <c r="D48" s="97"/>
      <c r="E48" s="97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8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2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5" t="s">
        <v>13</v>
      </c>
      <c r="E1" s="105"/>
      <c r="G1" s="105" t="s">
        <v>37</v>
      </c>
      <c r="H1" s="105"/>
      <c r="I1" s="105"/>
      <c r="J1" s="105"/>
      <c r="K1" s="25"/>
      <c r="Z1" s="93"/>
    </row>
    <row r="2" spans="1:26" x14ac:dyDescent="0.25">
      <c r="A2" s="41"/>
      <c r="B2" s="42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G3" s="110">
        <f ca="1">TODAY()-ROUNDDOWN(($E$5/12*365),0)</f>
        <v>45881</v>
      </c>
      <c r="H3" s="110"/>
      <c r="I3" s="110"/>
      <c r="J3" s="110"/>
    </row>
    <row r="5" spans="1:26" ht="12.65" customHeight="1" x14ac:dyDescent="0.25">
      <c r="D5" s="54" t="s">
        <v>35</v>
      </c>
      <c r="E5" s="53">
        <v>6</v>
      </c>
      <c r="G5" s="108" t="s">
        <v>38</v>
      </c>
      <c r="H5" s="24"/>
      <c r="I5" s="30"/>
      <c r="J5" s="30"/>
    </row>
    <row r="6" spans="1:26" x14ac:dyDescent="0.25"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D8" s="106" t="str">
        <f>CSMonths &amp;" month total:"</f>
        <v>6 month total:</v>
      </c>
      <c r="E8" s="106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D9" s="112">
        <f>SUM(B2:B32)</f>
        <v>0</v>
      </c>
      <c r="E9" s="113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D11" s="105" t="str">
        <f>IF(D8="12 Month Total:","","Annualized:")</f>
        <v>Annualized:</v>
      </c>
      <c r="E11" s="105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D12" s="111">
        <f>IF(D11&lt;&gt;"", D9/E5*12, "")</f>
        <v>0</v>
      </c>
      <c r="E12" s="111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39</v>
      </c>
      <c r="J18" s="23">
        <f t="shared" si="0"/>
        <v>6</v>
      </c>
    </row>
    <row r="21" spans="7:10" ht="12.65" customHeight="1" x14ac:dyDescent="0.25">
      <c r="G21" s="103" t="s">
        <v>59</v>
      </c>
      <c r="H21" s="103"/>
      <c r="I21" s="103"/>
      <c r="J21" s="103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20"/>
      <c r="H28" s="20"/>
      <c r="I28" s="21"/>
      <c r="J28" s="23"/>
    </row>
    <row r="29" spans="7:10" x14ac:dyDescent="0.25">
      <c r="G29" s="20"/>
      <c r="H29" s="20"/>
      <c r="I29" s="21"/>
      <c r="J29" s="23"/>
    </row>
    <row r="30" spans="7:10" x14ac:dyDescent="0.25">
      <c r="G30" s="104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30" s="104"/>
      <c r="I30" s="104"/>
      <c r="J30" s="104"/>
    </row>
    <row r="31" spans="7:10" x14ac:dyDescent="0.25">
      <c r="G31" s="104"/>
      <c r="H31" s="104"/>
      <c r="I31" s="104"/>
      <c r="J31" s="104"/>
    </row>
    <row r="32" spans="7:10" x14ac:dyDescent="0.25">
      <c r="G32" s="20"/>
      <c r="H32" s="20"/>
      <c r="I32" s="21"/>
      <c r="J32" s="23"/>
    </row>
  </sheetData>
  <sheetProtection sheet="1" objects="1" scenarios="1"/>
  <mergeCells count="13">
    <mergeCell ref="G21:J21"/>
    <mergeCell ref="G30:J31"/>
    <mergeCell ref="D11:E11"/>
    <mergeCell ref="D8:E8"/>
    <mergeCell ref="D1:E1"/>
    <mergeCell ref="D2:E2"/>
    <mergeCell ref="G1:J1"/>
    <mergeCell ref="G5:G6"/>
    <mergeCell ref="H6:J6"/>
    <mergeCell ref="G3:J3"/>
    <mergeCell ref="G2:J2"/>
    <mergeCell ref="D12:E12"/>
    <mergeCell ref="D9:E9"/>
  </mergeCells>
  <conditionalFormatting sqref="A30:A102 A2:A27">
    <cfRule type="expression" dxfId="7" priority="5">
      <formula>AND(A1&lt;&gt;"", A2="")</formula>
    </cfRule>
  </conditionalFormatting>
  <conditionalFormatting sqref="A2:E102">
    <cfRule type="expression" priority="4" stopIfTrue="1">
      <formula>($Z$1="Printing")</formula>
    </cfRule>
  </conditionalFormatting>
  <conditionalFormatting sqref="D12:E12">
    <cfRule type="expression" dxfId="6" priority="2">
      <formula>$E$5&lt;&gt;12</formula>
    </cfRule>
  </conditionalFormatting>
  <conditionalFormatting sqref="A29">
    <cfRule type="expression" dxfId="5" priority="7">
      <formula>AND(A26&lt;&gt;"", A29="")</formula>
    </cfRule>
  </conditionalFormatting>
  <conditionalFormatting sqref="A28">
    <cfRule type="expression" dxfId="4" priority="9">
      <formula>AND(A26&lt;&gt;"", A28="")</formula>
    </cfRule>
  </conditionalFormatting>
  <conditionalFormatting sqref="G7:G18">
    <cfRule type="expression" dxfId="3" priority="1">
      <formula>G7=MONTH(TODAY())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23</xdr:row>
                    <xdr:rowOff>19050</xdr:rowOff>
                  </from>
                  <to>
                    <xdr:col>9</xdr:col>
                    <xdr:colOff>165100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26</xdr:row>
                    <xdr:rowOff>12700</xdr:rowOff>
                  </from>
                  <to>
                    <xdr:col>9</xdr:col>
                    <xdr:colOff>152400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5" t="s">
        <v>40</v>
      </c>
      <c r="B1" s="105"/>
      <c r="C1" s="105"/>
      <c r="D1" s="105"/>
      <c r="E1" s="105"/>
      <c r="Z1" s="93"/>
    </row>
    <row r="2" spans="1:26" x14ac:dyDescent="0.25">
      <c r="C2" s="15"/>
    </row>
    <row r="3" spans="1:26" x14ac:dyDescent="0.25">
      <c r="C3" s="15"/>
    </row>
    <row r="4" spans="1:26" x14ac:dyDescent="0.25">
      <c r="A4" s="107" t="s">
        <v>41</v>
      </c>
      <c r="B4" s="107"/>
      <c r="C4" s="15"/>
      <c r="D4" s="107" t="s">
        <v>41</v>
      </c>
      <c r="E4" s="107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7" t="str">
        <f>IF(A4&lt;&gt;"[Recipient Name]", A4&amp;" - ", "")&amp;IF(B11 &lt;&gt; "", "UI: "&amp;TEXT(B7, "$0")&amp;"/wk. Balance of "&amp; TEXT(B8, "$0")&amp;" as of "&amp;TEXT(B6, "M/D/YY")&amp;". Funds expended "&amp;TEXT(B11, "M/D/YY")&amp;".", "")</f>
        <v/>
      </c>
      <c r="B25" s="97"/>
      <c r="C25" s="97"/>
      <c r="D25" s="97"/>
      <c r="E25" s="97"/>
    </row>
    <row r="26" spans="1:5" x14ac:dyDescent="0.25">
      <c r="A26" s="97" t="str">
        <f>IF(D4&lt;&gt;"[Recipient Name]", D4&amp;" - ", "")&amp;IF(E11 &lt;&gt; "", "UI: "&amp;TEXT(E7, "$0")&amp;"/wk. Balance of "&amp; TEXT(E8, "$0")&amp;" as of "&amp;TEXT(E6, "M/D/YY")&amp;". Funds expended "&amp;TEXT(E11, "M/D/YY")&amp;".", "")</f>
        <v/>
      </c>
      <c r="B26" s="97"/>
      <c r="C26" s="97"/>
      <c r="D26" s="97"/>
      <c r="E26" s="97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07" t="s">
        <v>48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4" t="s">
        <v>30</v>
      </c>
      <c r="C5" s="115"/>
      <c r="D5" s="116"/>
      <c r="E5" s="48">
        <v>42005</v>
      </c>
    </row>
    <row r="6" spans="2:26" x14ac:dyDescent="0.25">
      <c r="E6" s="7"/>
    </row>
    <row r="7" spans="2:26" x14ac:dyDescent="0.25">
      <c r="B7" s="114" t="s">
        <v>31</v>
      </c>
      <c r="C7" s="115"/>
      <c r="D7" s="116"/>
      <c r="E7" s="49"/>
    </row>
    <row r="8" spans="2:26" x14ac:dyDescent="0.25">
      <c r="E8" s="7"/>
    </row>
    <row r="9" spans="2:26" x14ac:dyDescent="0.25">
      <c r="B9" s="114" t="s">
        <v>32</v>
      </c>
      <c r="C9" s="115"/>
      <c r="D9" s="116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77" t="s">
        <v>7</v>
      </c>
      <c r="F18" s="10" t="s">
        <v>9</v>
      </c>
    </row>
    <row r="19" spans="1:8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8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8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8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8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8" ht="13" x14ac:dyDescent="0.3">
      <c r="A25" s="117" t="str">
        <f>IF(B3&lt;&gt;"Name - Employer",_xlfn.TEXTJOIN(" ",TRUE,B3&amp;": YTD as of "&amp;TEXT(E5,"m/d/yy")&amp;": $"&amp;TEXT(E7,"0.00")&amp;"; annual @ "&amp;TEXT(E9,"0.00"),B42,B44),"")</f>
        <v/>
      </c>
      <c r="B25" s="117"/>
      <c r="C25" s="117"/>
      <c r="D25" s="117"/>
      <c r="E25" s="117"/>
      <c r="F25" s="117"/>
      <c r="G25" s="117"/>
      <c r="H25" s="11"/>
    </row>
    <row r="26" spans="1:8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57</v>
      </c>
    </row>
    <row r="36" spans="1:5" x14ac:dyDescent="0.25">
      <c r="A36" s="50" t="s">
        <v>50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5" x14ac:dyDescent="0.25">
      <c r="A40" s="4" t="s">
        <v>19</v>
      </c>
      <c r="B40" s="72"/>
      <c r="C40" s="90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07" t="s">
        <v>49</v>
      </c>
      <c r="C1" s="107"/>
      <c r="D1" s="107"/>
      <c r="E1" s="107"/>
      <c r="Z1" s="93"/>
    </row>
    <row r="2" spans="2:26" x14ac:dyDescent="0.25">
      <c r="E2" s="7"/>
    </row>
    <row r="3" spans="2:26" x14ac:dyDescent="0.25">
      <c r="B3" s="107" t="s">
        <v>29</v>
      </c>
      <c r="C3" s="107"/>
      <c r="D3" s="107"/>
      <c r="E3" s="107"/>
    </row>
    <row r="4" spans="2:26" x14ac:dyDescent="0.25">
      <c r="E4" s="7"/>
    </row>
    <row r="5" spans="2:26" x14ac:dyDescent="0.25">
      <c r="B5" s="118" t="s">
        <v>52</v>
      </c>
      <c r="C5" s="118"/>
      <c r="D5" s="118"/>
      <c r="E5" s="45">
        <v>42005</v>
      </c>
    </row>
    <row r="6" spans="2:26" x14ac:dyDescent="0.25">
      <c r="B6" s="105"/>
      <c r="C6" s="105"/>
      <c r="D6" s="105"/>
    </row>
    <row r="7" spans="2:26" x14ac:dyDescent="0.25">
      <c r="B7" s="118" t="s">
        <v>53</v>
      </c>
      <c r="C7" s="118"/>
      <c r="D7" s="118"/>
      <c r="E7" s="40"/>
    </row>
    <row r="8" spans="2:26" x14ac:dyDescent="0.25">
      <c r="B8" s="105"/>
      <c r="C8" s="105"/>
      <c r="D8" s="105"/>
    </row>
    <row r="9" spans="2:26" x14ac:dyDescent="0.25">
      <c r="B9" s="118" t="s">
        <v>54</v>
      </c>
      <c r="C9" s="118"/>
      <c r="D9" s="118"/>
      <c r="E9" s="40"/>
    </row>
    <row r="10" spans="2:26" x14ac:dyDescent="0.25">
      <c r="B10" s="105"/>
      <c r="C10" s="105"/>
      <c r="D10" s="105"/>
    </row>
    <row r="11" spans="2:26" x14ac:dyDescent="0.25">
      <c r="B11" s="118" t="s">
        <v>55</v>
      </c>
      <c r="C11" s="118"/>
      <c r="D11" s="118"/>
      <c r="E11" s="45">
        <v>42005</v>
      </c>
    </row>
    <row r="12" spans="2:26" x14ac:dyDescent="0.25">
      <c r="B12" s="105"/>
      <c r="C12" s="105"/>
      <c r="D12" s="105"/>
    </row>
    <row r="13" spans="2:26" x14ac:dyDescent="0.25">
      <c r="B13" s="118" t="s">
        <v>56</v>
      </c>
      <c r="C13" s="118"/>
      <c r="D13" s="118"/>
      <c r="E13" s="40"/>
    </row>
    <row r="14" spans="2:26" x14ac:dyDescent="0.25">
      <c r="B14" s="105"/>
      <c r="C14" s="105"/>
      <c r="D14" s="105"/>
    </row>
    <row r="15" spans="2:26" x14ac:dyDescent="0.25">
      <c r="B15" s="118" t="s">
        <v>32</v>
      </c>
      <c r="C15" s="118"/>
      <c r="D15" s="118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2"/>
      <c r="C19" s="63"/>
      <c r="D19" s="63"/>
      <c r="E19" s="78"/>
      <c r="F19" s="81" t="str">
        <f>IF(COUNTA(B19:E19),SUM(B19*26+C19*52+D19*24+E19*12), "")</f>
        <v/>
      </c>
    </row>
    <row r="20" spans="1:11" x14ac:dyDescent="0.25">
      <c r="A20" s="4" t="s">
        <v>11</v>
      </c>
      <c r="B20" s="64"/>
      <c r="C20" s="65"/>
      <c r="D20" s="65"/>
      <c r="E20" s="79"/>
      <c r="F20" s="82" t="str">
        <f>IF(COUNTA(B20:E20),SUM(B20*26+C20*52+D20*24+E20*12), "")</f>
        <v/>
      </c>
    </row>
    <row r="21" spans="1:11" x14ac:dyDescent="0.25">
      <c r="A21" s="4" t="s">
        <v>12</v>
      </c>
      <c r="B21" s="64"/>
      <c r="C21" s="65"/>
      <c r="D21" s="65"/>
      <c r="E21" s="79"/>
      <c r="F21" s="82" t="str">
        <f>IF(COUNTA(B21:E21),SUM(B21*26+C21*52+D21*24+E21*12), "")</f>
        <v/>
      </c>
    </row>
    <row r="22" spans="1:11" x14ac:dyDescent="0.25">
      <c r="A22" s="4" t="s">
        <v>13</v>
      </c>
      <c r="B22" s="64"/>
      <c r="C22" s="65"/>
      <c r="D22" s="65"/>
      <c r="E22" s="79"/>
      <c r="F22" s="82" t="str">
        <f>IF(COUNTA(B22:E22),SUM(B22*26+C22*52+D22*24+E22*12), "")</f>
        <v/>
      </c>
    </row>
    <row r="23" spans="1:11" x14ac:dyDescent="0.25">
      <c r="A23" s="4" t="s">
        <v>14</v>
      </c>
      <c r="B23" s="66"/>
      <c r="C23" s="67"/>
      <c r="D23" s="67"/>
      <c r="E23" s="80"/>
      <c r="F23" s="83" t="str">
        <f>IF(COUNTA(B23:E23),SUM(B23*26+C23*52+D23*24+E23*12), "")</f>
        <v/>
      </c>
    </row>
    <row r="25" spans="1:11" ht="13" x14ac:dyDescent="0.3">
      <c r="A25" s="117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7"/>
      <c r="C25" s="117"/>
      <c r="D25" s="117"/>
      <c r="E25" s="117"/>
      <c r="F25" s="117"/>
      <c r="G25" s="117"/>
    </row>
    <row r="26" spans="1:11" ht="13" x14ac:dyDescent="0.3">
      <c r="A26" s="117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7"/>
      <c r="C26" s="117"/>
      <c r="D26" s="117"/>
      <c r="E26" s="117"/>
      <c r="F26" s="117"/>
      <c r="G26" s="117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58</v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47</v>
      </c>
    </row>
    <row r="37" spans="1:5" x14ac:dyDescent="0.25">
      <c r="A37" s="4" t="s">
        <v>19</v>
      </c>
      <c r="B37" s="72"/>
      <c r="C37" s="90"/>
      <c r="D37" s="91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47</v>
      </c>
    </row>
    <row r="40" spans="1:5" x14ac:dyDescent="0.25">
      <c r="A40" s="4" t="s">
        <v>19</v>
      </c>
      <c r="B40" s="73"/>
      <c r="C40" s="92"/>
      <c r="D40" s="91" t="str">
        <f>IF(COUNTA(B40, C40)=2, (1-((DATEDIF(B40,C40,"d")+1)/365)), "")</f>
        <v/>
      </c>
    </row>
    <row r="42" spans="1:5" x14ac:dyDescent="0.25">
      <c r="A42" t="s">
        <v>24</v>
      </c>
      <c r="B42" s="97" t="str">
        <f>IF(D37&lt;&gt;"",IF(COUNTA(B37),"(contract: "&amp; B37 &amp;"/52 weeks)","(contract: "&amp;C37&amp;"/12 months)"),"")</f>
        <v/>
      </c>
      <c r="C42" s="97"/>
      <c r="D42" s="97"/>
      <c r="E42" s="97"/>
    </row>
    <row r="44" spans="1:5" x14ac:dyDescent="0.25">
      <c r="A44" t="s">
        <v>26</v>
      </c>
      <c r="B44" s="97" t="str">
        <f>IF(D40&lt;&gt;"","(Leave: "&amp;(DATEDIF(B40,C40,"d")+1)&amp;" days)","")</f>
        <v/>
      </c>
      <c r="C44" s="97"/>
      <c r="D44" s="97"/>
      <c r="E44" s="97"/>
    </row>
  </sheetData>
  <sheetProtection sheet="1" objects="1" scenarios="1"/>
  <mergeCells count="17"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0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2026-02-10T15:56:17Z</dcterms:modified>
  <cp:category/>
  <cp:contentStatus/>
</cp:coreProperties>
</file>